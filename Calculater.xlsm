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495" windowWidth="18195" windowHeight="11400"/>
  </bookViews>
  <sheets>
    <sheet name="DATA" sheetId="1" r:id="rId1"/>
    <sheet name="SONUC" sheetId="4" r:id="rId2"/>
    <sheet name="Uniformita Bulucu" sheetId="5" r:id="rId3"/>
    <sheet name="Kontrol Paneli" sheetId="8" r:id="rId4"/>
  </sheets>
  <definedNames>
    <definedName name="DENEME">DATA!Range(cells(BARKODFDR, BARKODFDK), cells(BARKODFRR, BARKODFRK))</definedName>
  </definedNames>
  <calcPr calcId="145621"/>
</workbook>
</file>

<file path=xl/calcChain.xml><?xml version="1.0" encoding="utf-8"?>
<calcChain xmlns="http://schemas.openxmlformats.org/spreadsheetml/2006/main">
  <c r="C97" i="5" l="1"/>
  <c r="D97" i="5"/>
  <c r="E97" i="5"/>
  <c r="F97" i="5"/>
  <c r="G97" i="5"/>
  <c r="H97" i="5"/>
  <c r="I97" i="5"/>
  <c r="J97" i="5"/>
  <c r="K97" i="5"/>
  <c r="L97" i="5"/>
  <c r="M97" i="5"/>
  <c r="C98" i="5"/>
  <c r="D98" i="5"/>
  <c r="E98" i="5"/>
  <c r="F98" i="5"/>
  <c r="G98" i="5"/>
  <c r="H98" i="5"/>
  <c r="I98" i="5"/>
  <c r="J98" i="5"/>
  <c r="K98" i="5"/>
  <c r="L98" i="5"/>
  <c r="M98" i="5"/>
  <c r="C99" i="5"/>
  <c r="D99" i="5"/>
  <c r="E99" i="5"/>
  <c r="F99" i="5"/>
  <c r="G99" i="5"/>
  <c r="H99" i="5"/>
  <c r="I99" i="5"/>
  <c r="J99" i="5"/>
  <c r="K99" i="5"/>
  <c r="L99" i="5"/>
  <c r="M99" i="5"/>
  <c r="C100" i="5"/>
  <c r="D100" i="5"/>
  <c r="E100" i="5"/>
  <c r="F100" i="5"/>
  <c r="G100" i="5"/>
  <c r="H100" i="5"/>
  <c r="I100" i="5"/>
  <c r="J100" i="5"/>
  <c r="K100" i="5"/>
  <c r="L100" i="5"/>
  <c r="M100" i="5"/>
  <c r="C101" i="5"/>
  <c r="D101" i="5"/>
  <c r="E101" i="5"/>
  <c r="F101" i="5"/>
  <c r="G101" i="5"/>
  <c r="H101" i="5"/>
  <c r="I101" i="5"/>
  <c r="J101" i="5"/>
  <c r="K101" i="5"/>
  <c r="L101" i="5"/>
  <c r="M101" i="5"/>
  <c r="C102" i="5"/>
  <c r="D102" i="5"/>
  <c r="E102" i="5"/>
  <c r="F102" i="5"/>
  <c r="G102" i="5"/>
  <c r="H102" i="5"/>
  <c r="I102" i="5"/>
  <c r="J102" i="5"/>
  <c r="K102" i="5"/>
  <c r="L102" i="5"/>
  <c r="M102" i="5"/>
  <c r="C103" i="5"/>
  <c r="D103" i="5"/>
  <c r="E103" i="5"/>
  <c r="F103" i="5"/>
  <c r="G103" i="5"/>
  <c r="H103" i="5"/>
  <c r="I103" i="5"/>
  <c r="J103" i="5"/>
  <c r="K103" i="5"/>
  <c r="L103" i="5"/>
  <c r="M103" i="5"/>
  <c r="C104" i="5"/>
  <c r="D104" i="5"/>
  <c r="E104" i="5"/>
  <c r="F104" i="5"/>
  <c r="G104" i="5"/>
  <c r="H104" i="5"/>
  <c r="I104" i="5"/>
  <c r="J104" i="5"/>
  <c r="K104" i="5"/>
  <c r="L104" i="5"/>
  <c r="M104" i="5"/>
  <c r="C105" i="5"/>
  <c r="D105" i="5"/>
  <c r="E105" i="5"/>
  <c r="F105" i="5"/>
  <c r="G105" i="5"/>
  <c r="H105" i="5"/>
  <c r="I105" i="5"/>
  <c r="J105" i="5"/>
  <c r="K105" i="5"/>
  <c r="L105" i="5"/>
  <c r="M105" i="5"/>
  <c r="C106" i="5"/>
  <c r="D106" i="5"/>
  <c r="E106" i="5"/>
  <c r="F106" i="5"/>
  <c r="G106" i="5"/>
  <c r="H106" i="5"/>
  <c r="I106" i="5"/>
  <c r="J106" i="5"/>
  <c r="K106" i="5"/>
  <c r="L106" i="5"/>
  <c r="M106" i="5"/>
  <c r="C107" i="5"/>
  <c r="D107" i="5"/>
  <c r="E107" i="5"/>
  <c r="F107" i="5"/>
  <c r="G107" i="5"/>
  <c r="H107" i="5"/>
  <c r="I107" i="5"/>
  <c r="J107" i="5"/>
  <c r="K107" i="5"/>
  <c r="L107" i="5"/>
  <c r="M107" i="5"/>
  <c r="C108" i="5"/>
  <c r="D108" i="5"/>
  <c r="E108" i="5"/>
  <c r="F108" i="5"/>
  <c r="G108" i="5"/>
  <c r="H108" i="5"/>
  <c r="I108" i="5"/>
  <c r="J108" i="5"/>
  <c r="K108" i="5"/>
  <c r="L108" i="5"/>
  <c r="M108" i="5"/>
  <c r="C109" i="5"/>
  <c r="D109" i="5"/>
  <c r="E109" i="5"/>
  <c r="F109" i="5"/>
  <c r="G109" i="5"/>
  <c r="H109" i="5"/>
  <c r="I109" i="5"/>
  <c r="J109" i="5"/>
  <c r="K109" i="5"/>
  <c r="L109" i="5"/>
  <c r="M109" i="5"/>
  <c r="C110" i="5"/>
  <c r="D110" i="5"/>
  <c r="E110" i="5"/>
  <c r="F110" i="5"/>
  <c r="G110" i="5"/>
  <c r="H110" i="5"/>
  <c r="I110" i="5"/>
  <c r="J110" i="5"/>
  <c r="K110" i="5"/>
  <c r="L110" i="5"/>
  <c r="M110" i="5"/>
  <c r="C111" i="5"/>
  <c r="D111" i="5"/>
  <c r="E111" i="5"/>
  <c r="F111" i="5"/>
  <c r="G111" i="5"/>
  <c r="H111" i="5"/>
  <c r="I111" i="5"/>
  <c r="J111" i="5"/>
  <c r="K111" i="5"/>
  <c r="L111" i="5"/>
  <c r="M111" i="5"/>
  <c r="C112" i="5"/>
  <c r="D112" i="5"/>
  <c r="E112" i="5"/>
  <c r="F112" i="5"/>
  <c r="G112" i="5"/>
  <c r="H112" i="5"/>
  <c r="I112" i="5"/>
  <c r="J112" i="5"/>
  <c r="K112" i="5"/>
  <c r="L112" i="5"/>
  <c r="M112" i="5"/>
  <c r="C113" i="5"/>
  <c r="D113" i="5"/>
  <c r="E113" i="5"/>
  <c r="F113" i="5"/>
  <c r="G113" i="5"/>
  <c r="H113" i="5"/>
  <c r="I113" i="5"/>
  <c r="J113" i="5"/>
  <c r="K113" i="5"/>
  <c r="L113" i="5"/>
  <c r="M113" i="5"/>
  <c r="C114" i="5"/>
  <c r="D114" i="5"/>
  <c r="E114" i="5"/>
  <c r="F114" i="5"/>
  <c r="G114" i="5"/>
  <c r="H114" i="5"/>
  <c r="I114" i="5"/>
  <c r="J114" i="5"/>
  <c r="K114" i="5"/>
  <c r="L114" i="5"/>
  <c r="M114" i="5"/>
  <c r="C115" i="5"/>
  <c r="D115" i="5"/>
  <c r="E115" i="5"/>
  <c r="F115" i="5"/>
  <c r="G115" i="5"/>
  <c r="H115" i="5"/>
  <c r="I115" i="5"/>
  <c r="J115" i="5"/>
  <c r="K115" i="5"/>
  <c r="L115" i="5"/>
  <c r="M115" i="5"/>
  <c r="C116" i="5"/>
  <c r="D116" i="5"/>
  <c r="E116" i="5"/>
  <c r="F116" i="5"/>
  <c r="G116" i="5"/>
  <c r="H116" i="5"/>
  <c r="I116" i="5"/>
  <c r="J116" i="5"/>
  <c r="K116" i="5"/>
  <c r="L116" i="5"/>
  <c r="M116" i="5"/>
  <c r="C117" i="5"/>
  <c r="D117" i="5"/>
  <c r="E117" i="5"/>
  <c r="F117" i="5"/>
  <c r="G117" i="5"/>
  <c r="H117" i="5"/>
  <c r="I117" i="5"/>
  <c r="J117" i="5"/>
  <c r="K117" i="5"/>
  <c r="L117" i="5"/>
  <c r="M117" i="5"/>
  <c r="C118" i="5"/>
  <c r="D118" i="5"/>
  <c r="E118" i="5"/>
  <c r="F118" i="5"/>
  <c r="G118" i="5"/>
  <c r="H118" i="5"/>
  <c r="I118" i="5"/>
  <c r="J118" i="5"/>
  <c r="K118" i="5"/>
  <c r="L118" i="5"/>
  <c r="M118" i="5"/>
  <c r="C119" i="5"/>
  <c r="D119" i="5"/>
  <c r="E119" i="5"/>
  <c r="F119" i="5"/>
  <c r="G119" i="5"/>
  <c r="H119" i="5"/>
  <c r="I119" i="5"/>
  <c r="J119" i="5"/>
  <c r="K119" i="5"/>
  <c r="L119" i="5"/>
  <c r="M119" i="5"/>
  <c r="C120" i="5"/>
  <c r="D120" i="5"/>
  <c r="E120" i="5"/>
  <c r="F120" i="5"/>
  <c r="G120" i="5"/>
  <c r="H120" i="5"/>
  <c r="I120" i="5"/>
  <c r="J120" i="5"/>
  <c r="K120" i="5"/>
  <c r="L120" i="5"/>
  <c r="M120" i="5"/>
  <c r="C121" i="5"/>
  <c r="D121" i="5"/>
  <c r="E121" i="5"/>
  <c r="F121" i="5"/>
  <c r="G121" i="5"/>
  <c r="H121" i="5"/>
  <c r="I121" i="5"/>
  <c r="J121" i="5"/>
  <c r="K121" i="5"/>
  <c r="L121" i="5"/>
  <c r="M121" i="5"/>
  <c r="C122" i="5"/>
  <c r="D122" i="5"/>
  <c r="E122" i="5"/>
  <c r="F122" i="5"/>
  <c r="G122" i="5"/>
  <c r="H122" i="5"/>
  <c r="I122" i="5"/>
  <c r="J122" i="5"/>
  <c r="K122" i="5"/>
  <c r="L122" i="5"/>
  <c r="M122" i="5"/>
  <c r="C123" i="5"/>
  <c r="D123" i="5"/>
  <c r="E123" i="5"/>
  <c r="F123" i="5"/>
  <c r="G123" i="5"/>
  <c r="H123" i="5"/>
  <c r="I123" i="5"/>
  <c r="J123" i="5"/>
  <c r="K123" i="5"/>
  <c r="L123" i="5"/>
  <c r="M123" i="5"/>
  <c r="C124" i="5"/>
  <c r="D124" i="5"/>
  <c r="E124" i="5"/>
  <c r="F124" i="5"/>
  <c r="G124" i="5"/>
  <c r="H124" i="5"/>
  <c r="I124" i="5"/>
  <c r="J124" i="5"/>
  <c r="K124" i="5"/>
  <c r="L124" i="5"/>
  <c r="M124" i="5"/>
  <c r="C125" i="5"/>
  <c r="D125" i="5"/>
  <c r="E125" i="5"/>
  <c r="F125" i="5"/>
  <c r="G125" i="5"/>
  <c r="H125" i="5"/>
  <c r="I125" i="5"/>
  <c r="J125" i="5"/>
  <c r="K125" i="5"/>
  <c r="L125" i="5"/>
  <c r="M125" i="5"/>
  <c r="C126" i="5"/>
  <c r="D126" i="5"/>
  <c r="E126" i="5"/>
  <c r="F126" i="5"/>
  <c r="G126" i="5"/>
  <c r="H126" i="5"/>
  <c r="I126" i="5"/>
  <c r="J126" i="5"/>
  <c r="K126" i="5"/>
  <c r="L126" i="5"/>
  <c r="M126" i="5"/>
  <c r="C127" i="5"/>
  <c r="D127" i="5"/>
  <c r="E127" i="5"/>
  <c r="F127" i="5"/>
  <c r="G127" i="5"/>
  <c r="H127" i="5"/>
  <c r="I127" i="5"/>
  <c r="J127" i="5"/>
  <c r="K127" i="5"/>
  <c r="L127" i="5"/>
  <c r="M127" i="5"/>
  <c r="C128" i="5"/>
  <c r="D128" i="5"/>
  <c r="E128" i="5"/>
  <c r="F128" i="5"/>
  <c r="G128" i="5"/>
  <c r="H128" i="5"/>
  <c r="I128" i="5"/>
  <c r="J128" i="5"/>
  <c r="K128" i="5"/>
  <c r="L128" i="5"/>
  <c r="M128" i="5"/>
  <c r="C129" i="5"/>
  <c r="D129" i="5"/>
  <c r="E129" i="5"/>
  <c r="F129" i="5"/>
  <c r="G129" i="5"/>
  <c r="H129" i="5"/>
  <c r="I129" i="5"/>
  <c r="J129" i="5"/>
  <c r="K129" i="5"/>
  <c r="L129" i="5"/>
  <c r="M129" i="5"/>
  <c r="C130" i="5"/>
  <c r="D130" i="5"/>
  <c r="E130" i="5"/>
  <c r="F130" i="5"/>
  <c r="G130" i="5"/>
  <c r="H130" i="5"/>
  <c r="I130" i="5"/>
  <c r="J130" i="5"/>
  <c r="K130" i="5"/>
  <c r="L130" i="5"/>
  <c r="M130" i="5"/>
  <c r="C131" i="5"/>
  <c r="D131" i="5"/>
  <c r="E131" i="5"/>
  <c r="F131" i="5"/>
  <c r="G131" i="5"/>
  <c r="H131" i="5"/>
  <c r="I131" i="5"/>
  <c r="J131" i="5"/>
  <c r="K131" i="5"/>
  <c r="L131" i="5"/>
  <c r="M131" i="5"/>
  <c r="C132" i="5"/>
  <c r="D132" i="5"/>
  <c r="E132" i="5"/>
  <c r="F132" i="5"/>
  <c r="G132" i="5"/>
  <c r="H132" i="5"/>
  <c r="I132" i="5"/>
  <c r="J132" i="5"/>
  <c r="K132" i="5"/>
  <c r="L132" i="5"/>
  <c r="M132" i="5"/>
  <c r="C133" i="5"/>
  <c r="D133" i="5"/>
  <c r="E133" i="5"/>
  <c r="F133" i="5"/>
  <c r="G133" i="5"/>
  <c r="H133" i="5"/>
  <c r="I133" i="5"/>
  <c r="J133" i="5"/>
  <c r="K133" i="5"/>
  <c r="L133" i="5"/>
  <c r="M133" i="5"/>
  <c r="C134" i="5"/>
  <c r="D134" i="5"/>
  <c r="E134" i="5"/>
  <c r="F134" i="5"/>
  <c r="G134" i="5"/>
  <c r="H134" i="5"/>
  <c r="I134" i="5"/>
  <c r="J134" i="5"/>
  <c r="K134" i="5"/>
  <c r="L134" i="5"/>
  <c r="M134" i="5"/>
  <c r="C135" i="5"/>
  <c r="D135" i="5"/>
  <c r="E135" i="5"/>
  <c r="F135" i="5"/>
  <c r="G135" i="5"/>
  <c r="H135" i="5"/>
  <c r="I135" i="5"/>
  <c r="J135" i="5"/>
  <c r="K135" i="5"/>
  <c r="L135" i="5"/>
  <c r="M135" i="5"/>
  <c r="C136" i="5"/>
  <c r="D136" i="5"/>
  <c r="E136" i="5"/>
  <c r="F136" i="5"/>
  <c r="G136" i="5"/>
  <c r="H136" i="5"/>
  <c r="I136" i="5"/>
  <c r="J136" i="5"/>
  <c r="K136" i="5"/>
  <c r="L136" i="5"/>
  <c r="M136" i="5"/>
  <c r="C137" i="5"/>
  <c r="D137" i="5"/>
  <c r="E137" i="5"/>
  <c r="F137" i="5"/>
  <c r="G137" i="5"/>
  <c r="H137" i="5"/>
  <c r="I137" i="5"/>
  <c r="J137" i="5"/>
  <c r="K137" i="5"/>
  <c r="L137" i="5"/>
  <c r="M137" i="5"/>
  <c r="C138" i="5"/>
  <c r="D138" i="5"/>
  <c r="E138" i="5"/>
  <c r="F138" i="5"/>
  <c r="G138" i="5"/>
  <c r="H138" i="5"/>
  <c r="I138" i="5"/>
  <c r="J138" i="5"/>
  <c r="K138" i="5"/>
  <c r="L138" i="5"/>
  <c r="M138" i="5"/>
  <c r="C139" i="5"/>
  <c r="D139" i="5"/>
  <c r="E139" i="5"/>
  <c r="F139" i="5"/>
  <c r="G139" i="5"/>
  <c r="H139" i="5"/>
  <c r="I139" i="5"/>
  <c r="J139" i="5"/>
  <c r="K139" i="5"/>
  <c r="L139" i="5"/>
  <c r="M139" i="5"/>
  <c r="C140" i="5"/>
  <c r="D140" i="5"/>
  <c r="E140" i="5"/>
  <c r="F140" i="5"/>
  <c r="G140" i="5"/>
  <c r="H140" i="5"/>
  <c r="I140" i="5"/>
  <c r="J140" i="5"/>
  <c r="K140" i="5"/>
  <c r="L140" i="5"/>
  <c r="M140" i="5"/>
  <c r="C141" i="5"/>
  <c r="D141" i="5"/>
  <c r="E141" i="5"/>
  <c r="F141" i="5"/>
  <c r="G141" i="5"/>
  <c r="H141" i="5"/>
  <c r="I141" i="5"/>
  <c r="J141" i="5"/>
  <c r="K141" i="5"/>
  <c r="L141" i="5"/>
  <c r="M141" i="5"/>
  <c r="C142" i="5"/>
  <c r="D142" i="5"/>
  <c r="E142" i="5"/>
  <c r="F142" i="5"/>
  <c r="G142" i="5"/>
  <c r="H142" i="5"/>
  <c r="I142" i="5"/>
  <c r="J142" i="5"/>
  <c r="K142" i="5"/>
  <c r="L142" i="5"/>
  <c r="M142" i="5"/>
  <c r="C143" i="5"/>
  <c r="D143" i="5"/>
  <c r="E143" i="5"/>
  <c r="F143" i="5"/>
  <c r="G143" i="5"/>
  <c r="H143" i="5"/>
  <c r="I143" i="5"/>
  <c r="J143" i="5"/>
  <c r="K143" i="5"/>
  <c r="L143" i="5"/>
  <c r="M143" i="5"/>
  <c r="C144" i="5"/>
  <c r="D144" i="5"/>
  <c r="E144" i="5"/>
  <c r="F144" i="5"/>
  <c r="G144" i="5"/>
  <c r="H144" i="5"/>
  <c r="I144" i="5"/>
  <c r="J144" i="5"/>
  <c r="K144" i="5"/>
  <c r="L144" i="5"/>
  <c r="M144" i="5"/>
  <c r="C145" i="5"/>
  <c r="D145" i="5"/>
  <c r="E145" i="5"/>
  <c r="F145" i="5"/>
  <c r="G145" i="5"/>
  <c r="H145" i="5"/>
  <c r="I145" i="5"/>
  <c r="J145" i="5"/>
  <c r="K145" i="5"/>
  <c r="L145" i="5"/>
  <c r="M145" i="5"/>
  <c r="C146" i="5"/>
  <c r="D146" i="5"/>
  <c r="E146" i="5"/>
  <c r="F146" i="5"/>
  <c r="G146" i="5"/>
  <c r="H146" i="5"/>
  <c r="I146" i="5"/>
  <c r="J146" i="5"/>
  <c r="K146" i="5"/>
  <c r="L146" i="5"/>
  <c r="M146" i="5"/>
  <c r="C147" i="5"/>
  <c r="D147" i="5"/>
  <c r="E147" i="5"/>
  <c r="F147" i="5"/>
  <c r="G147" i="5"/>
  <c r="H147" i="5"/>
  <c r="I147" i="5"/>
  <c r="J147" i="5"/>
  <c r="K147" i="5"/>
  <c r="L147" i="5"/>
  <c r="M147" i="5"/>
  <c r="C148" i="5"/>
  <c r="D148" i="5"/>
  <c r="E148" i="5"/>
  <c r="F148" i="5"/>
  <c r="G148" i="5"/>
  <c r="H148" i="5"/>
  <c r="I148" i="5"/>
  <c r="J148" i="5"/>
  <c r="K148" i="5"/>
  <c r="L148" i="5"/>
  <c r="M148" i="5"/>
  <c r="C149" i="5"/>
  <c r="D149" i="5"/>
  <c r="E149" i="5"/>
  <c r="F149" i="5"/>
  <c r="G149" i="5"/>
  <c r="H149" i="5"/>
  <c r="I149" i="5"/>
  <c r="J149" i="5"/>
  <c r="K149" i="5"/>
  <c r="L149" i="5"/>
  <c r="M149" i="5"/>
  <c r="C150" i="5"/>
  <c r="D150" i="5"/>
  <c r="E150" i="5"/>
  <c r="F150" i="5"/>
  <c r="G150" i="5"/>
  <c r="H150" i="5"/>
  <c r="I150" i="5"/>
  <c r="J150" i="5"/>
  <c r="K150" i="5"/>
  <c r="L150" i="5"/>
  <c r="M150" i="5"/>
  <c r="C151" i="5"/>
  <c r="D151" i="5"/>
  <c r="E151" i="5"/>
  <c r="F151" i="5"/>
  <c r="G151" i="5"/>
  <c r="H151" i="5"/>
  <c r="I151" i="5"/>
  <c r="J151" i="5"/>
  <c r="K151" i="5"/>
  <c r="L151" i="5"/>
  <c r="M151" i="5"/>
  <c r="C152" i="5"/>
  <c r="D152" i="5"/>
  <c r="E152" i="5"/>
  <c r="F152" i="5"/>
  <c r="G152" i="5"/>
  <c r="H152" i="5"/>
  <c r="I152" i="5"/>
  <c r="J152" i="5"/>
  <c r="K152" i="5"/>
  <c r="L152" i="5"/>
  <c r="M152" i="5"/>
  <c r="C153" i="5"/>
  <c r="D153" i="5"/>
  <c r="E153" i="5"/>
  <c r="F153" i="5"/>
  <c r="G153" i="5"/>
  <c r="H153" i="5"/>
  <c r="I153" i="5"/>
  <c r="J153" i="5"/>
  <c r="K153" i="5"/>
  <c r="L153" i="5"/>
  <c r="M153" i="5"/>
  <c r="C154" i="5"/>
  <c r="D154" i="5"/>
  <c r="E154" i="5"/>
  <c r="F154" i="5"/>
  <c r="G154" i="5"/>
  <c r="H154" i="5"/>
  <c r="I154" i="5"/>
  <c r="J154" i="5"/>
  <c r="K154" i="5"/>
  <c r="L154" i="5"/>
  <c r="M154" i="5"/>
  <c r="C155" i="5"/>
  <c r="D155" i="5"/>
  <c r="E155" i="5"/>
  <c r="F155" i="5"/>
  <c r="G155" i="5"/>
  <c r="H155" i="5"/>
  <c r="I155" i="5"/>
  <c r="J155" i="5"/>
  <c r="K155" i="5"/>
  <c r="L155" i="5"/>
  <c r="M155" i="5"/>
  <c r="C156" i="5"/>
  <c r="D156" i="5"/>
  <c r="E156" i="5"/>
  <c r="F156" i="5"/>
  <c r="G156" i="5"/>
  <c r="H156" i="5"/>
  <c r="I156" i="5"/>
  <c r="J156" i="5"/>
  <c r="K156" i="5"/>
  <c r="L156" i="5"/>
  <c r="M156" i="5"/>
  <c r="C157" i="5"/>
  <c r="D157" i="5"/>
  <c r="E157" i="5"/>
  <c r="F157" i="5"/>
  <c r="G157" i="5"/>
  <c r="H157" i="5"/>
  <c r="I157" i="5"/>
  <c r="J157" i="5"/>
  <c r="K157" i="5"/>
  <c r="L157" i="5"/>
  <c r="M157" i="5"/>
  <c r="C158" i="5"/>
  <c r="D158" i="5"/>
  <c r="E158" i="5"/>
  <c r="F158" i="5"/>
  <c r="G158" i="5"/>
  <c r="H158" i="5"/>
  <c r="I158" i="5"/>
  <c r="J158" i="5"/>
  <c r="K158" i="5"/>
  <c r="L158" i="5"/>
  <c r="M158" i="5"/>
  <c r="C159" i="5"/>
  <c r="D159" i="5"/>
  <c r="E159" i="5"/>
  <c r="F159" i="5"/>
  <c r="G159" i="5"/>
  <c r="H159" i="5"/>
  <c r="I159" i="5"/>
  <c r="J159" i="5"/>
  <c r="K159" i="5"/>
  <c r="L159" i="5"/>
  <c r="M159" i="5"/>
  <c r="C160" i="5"/>
  <c r="D160" i="5"/>
  <c r="E160" i="5"/>
  <c r="F160" i="5"/>
  <c r="G160" i="5"/>
  <c r="H160" i="5"/>
  <c r="I160" i="5"/>
  <c r="J160" i="5"/>
  <c r="K160" i="5"/>
  <c r="L160" i="5"/>
  <c r="M160" i="5"/>
  <c r="C161" i="5"/>
  <c r="D161" i="5"/>
  <c r="E161" i="5"/>
  <c r="F161" i="5"/>
  <c r="G161" i="5"/>
  <c r="H161" i="5"/>
  <c r="I161" i="5"/>
  <c r="J161" i="5"/>
  <c r="K161" i="5"/>
  <c r="L161" i="5"/>
  <c r="M161" i="5"/>
  <c r="C162" i="5"/>
  <c r="D162" i="5"/>
  <c r="E162" i="5"/>
  <c r="F162" i="5"/>
  <c r="G162" i="5"/>
  <c r="H162" i="5"/>
  <c r="I162" i="5"/>
  <c r="J162" i="5"/>
  <c r="K162" i="5"/>
  <c r="L162" i="5"/>
  <c r="M162" i="5"/>
  <c r="C163" i="5"/>
  <c r="D163" i="5"/>
  <c r="E163" i="5"/>
  <c r="F163" i="5"/>
  <c r="G163" i="5"/>
  <c r="H163" i="5"/>
  <c r="I163" i="5"/>
  <c r="J163" i="5"/>
  <c r="K163" i="5"/>
  <c r="L163" i="5"/>
  <c r="M163" i="5"/>
  <c r="C164" i="5"/>
  <c r="D164" i="5"/>
  <c r="E164" i="5"/>
  <c r="F164" i="5"/>
  <c r="G164" i="5"/>
  <c r="H164" i="5"/>
  <c r="I164" i="5"/>
  <c r="J164" i="5"/>
  <c r="K164" i="5"/>
  <c r="L164" i="5"/>
  <c r="M164" i="5"/>
  <c r="C165" i="5"/>
  <c r="D165" i="5"/>
  <c r="E165" i="5"/>
  <c r="F165" i="5"/>
  <c r="G165" i="5"/>
  <c r="H165" i="5"/>
  <c r="I165" i="5"/>
  <c r="J165" i="5"/>
  <c r="K165" i="5"/>
  <c r="L165" i="5"/>
  <c r="M165" i="5"/>
  <c r="C166" i="5"/>
  <c r="D166" i="5"/>
  <c r="E166" i="5"/>
  <c r="F166" i="5"/>
  <c r="G166" i="5"/>
  <c r="H166" i="5"/>
  <c r="I166" i="5"/>
  <c r="J166" i="5"/>
  <c r="K166" i="5"/>
  <c r="L166" i="5"/>
  <c r="M166" i="5"/>
  <c r="C167" i="5"/>
  <c r="D167" i="5"/>
  <c r="E167" i="5"/>
  <c r="F167" i="5"/>
  <c r="G167" i="5"/>
  <c r="H167" i="5"/>
  <c r="I167" i="5"/>
  <c r="J167" i="5"/>
  <c r="K167" i="5"/>
  <c r="L167" i="5"/>
  <c r="M167" i="5"/>
  <c r="C168" i="5"/>
  <c r="D168" i="5"/>
  <c r="E168" i="5"/>
  <c r="F168" i="5"/>
  <c r="G168" i="5"/>
  <c r="H168" i="5"/>
  <c r="I168" i="5"/>
  <c r="J168" i="5"/>
  <c r="K168" i="5"/>
  <c r="L168" i="5"/>
  <c r="M168" i="5"/>
  <c r="C169" i="5"/>
  <c r="D169" i="5"/>
  <c r="E169" i="5"/>
  <c r="F169" i="5"/>
  <c r="G169" i="5"/>
  <c r="H169" i="5"/>
  <c r="I169" i="5"/>
  <c r="J169" i="5"/>
  <c r="K169" i="5"/>
  <c r="L169" i="5"/>
  <c r="M169" i="5"/>
  <c r="C170" i="5"/>
  <c r="D170" i="5"/>
  <c r="E170" i="5"/>
  <c r="F170" i="5"/>
  <c r="G170" i="5"/>
  <c r="H170" i="5"/>
  <c r="I170" i="5"/>
  <c r="J170" i="5"/>
  <c r="K170" i="5"/>
  <c r="L170" i="5"/>
  <c r="M170" i="5"/>
  <c r="C171" i="5"/>
  <c r="D171" i="5"/>
  <c r="E171" i="5"/>
  <c r="F171" i="5"/>
  <c r="G171" i="5"/>
  <c r="H171" i="5"/>
  <c r="I171" i="5"/>
  <c r="J171" i="5"/>
  <c r="K171" i="5"/>
  <c r="L171" i="5"/>
  <c r="M171" i="5"/>
  <c r="C172" i="5"/>
  <c r="D172" i="5"/>
  <c r="E172" i="5"/>
  <c r="F172" i="5"/>
  <c r="G172" i="5"/>
  <c r="H172" i="5"/>
  <c r="I172" i="5"/>
  <c r="J172" i="5"/>
  <c r="K172" i="5"/>
  <c r="L172" i="5"/>
  <c r="M172" i="5"/>
  <c r="C173" i="5"/>
  <c r="D173" i="5"/>
  <c r="E173" i="5"/>
  <c r="F173" i="5"/>
  <c r="G173" i="5"/>
  <c r="H173" i="5"/>
  <c r="I173" i="5"/>
  <c r="J173" i="5"/>
  <c r="K173" i="5"/>
  <c r="L173" i="5"/>
  <c r="M173" i="5"/>
  <c r="C174" i="5"/>
  <c r="D174" i="5"/>
  <c r="E174" i="5"/>
  <c r="F174" i="5"/>
  <c r="G174" i="5"/>
  <c r="H174" i="5"/>
  <c r="I174" i="5"/>
  <c r="J174" i="5"/>
  <c r="K174" i="5"/>
  <c r="L174" i="5"/>
  <c r="M174" i="5"/>
  <c r="C175" i="5"/>
  <c r="D175" i="5"/>
  <c r="E175" i="5"/>
  <c r="F175" i="5"/>
  <c r="G175" i="5"/>
  <c r="H175" i="5"/>
  <c r="I175" i="5"/>
  <c r="J175" i="5"/>
  <c r="K175" i="5"/>
  <c r="L175" i="5"/>
  <c r="M175" i="5"/>
  <c r="C176" i="5"/>
  <c r="D176" i="5"/>
  <c r="E176" i="5"/>
  <c r="F176" i="5"/>
  <c r="G176" i="5"/>
  <c r="H176" i="5"/>
  <c r="I176" i="5"/>
  <c r="J176" i="5"/>
  <c r="K176" i="5"/>
  <c r="L176" i="5"/>
  <c r="M176" i="5"/>
  <c r="C177" i="5"/>
  <c r="D177" i="5"/>
  <c r="E177" i="5"/>
  <c r="F177" i="5"/>
  <c r="G177" i="5"/>
  <c r="H177" i="5"/>
  <c r="I177" i="5"/>
  <c r="J177" i="5"/>
  <c r="K177" i="5"/>
  <c r="L177" i="5"/>
  <c r="M177" i="5"/>
  <c r="C178" i="5"/>
  <c r="D178" i="5"/>
  <c r="E178" i="5"/>
  <c r="F178" i="5"/>
  <c r="G178" i="5"/>
  <c r="H178" i="5"/>
  <c r="I178" i="5"/>
  <c r="J178" i="5"/>
  <c r="K178" i="5"/>
  <c r="L178" i="5"/>
  <c r="M178" i="5"/>
  <c r="C179" i="5"/>
  <c r="D179" i="5"/>
  <c r="E179" i="5"/>
  <c r="F179" i="5"/>
  <c r="G179" i="5"/>
  <c r="H179" i="5"/>
  <c r="I179" i="5"/>
  <c r="J179" i="5"/>
  <c r="K179" i="5"/>
  <c r="L179" i="5"/>
  <c r="M179" i="5"/>
  <c r="C180" i="5"/>
  <c r="D180" i="5"/>
  <c r="E180" i="5"/>
  <c r="F180" i="5"/>
  <c r="G180" i="5"/>
  <c r="H180" i="5"/>
  <c r="I180" i="5"/>
  <c r="J180" i="5"/>
  <c r="K180" i="5"/>
  <c r="L180" i="5"/>
  <c r="M180" i="5"/>
  <c r="C181" i="5"/>
  <c r="D181" i="5"/>
  <c r="E181" i="5"/>
  <c r="F181" i="5"/>
  <c r="G181" i="5"/>
  <c r="H181" i="5"/>
  <c r="I181" i="5"/>
  <c r="J181" i="5"/>
  <c r="K181" i="5"/>
  <c r="L181" i="5"/>
  <c r="M181" i="5"/>
  <c r="C182" i="5"/>
  <c r="D182" i="5"/>
  <c r="E182" i="5"/>
  <c r="F182" i="5"/>
  <c r="G182" i="5"/>
  <c r="H182" i="5"/>
  <c r="I182" i="5"/>
  <c r="J182" i="5"/>
  <c r="K182" i="5"/>
  <c r="L182" i="5"/>
  <c r="M182" i="5"/>
  <c r="C183" i="5"/>
  <c r="D183" i="5"/>
  <c r="E183" i="5"/>
  <c r="F183" i="5"/>
  <c r="G183" i="5"/>
  <c r="H183" i="5"/>
  <c r="I183" i="5"/>
  <c r="J183" i="5"/>
  <c r="K183" i="5"/>
  <c r="L183" i="5"/>
  <c r="M183" i="5"/>
  <c r="C184" i="5"/>
  <c r="D184" i="5"/>
  <c r="E184" i="5"/>
  <c r="F184" i="5"/>
  <c r="G184" i="5"/>
  <c r="H184" i="5"/>
  <c r="I184" i="5"/>
  <c r="J184" i="5"/>
  <c r="K184" i="5"/>
  <c r="L184" i="5"/>
  <c r="M184" i="5"/>
  <c r="C185" i="5"/>
  <c r="D185" i="5"/>
  <c r="E185" i="5"/>
  <c r="F185" i="5"/>
  <c r="G185" i="5"/>
  <c r="H185" i="5"/>
  <c r="I185" i="5"/>
  <c r="J185" i="5"/>
  <c r="K185" i="5"/>
  <c r="L185" i="5"/>
  <c r="M185" i="5"/>
  <c r="C186" i="5"/>
  <c r="D186" i="5"/>
  <c r="E186" i="5"/>
  <c r="F186" i="5"/>
  <c r="G186" i="5"/>
  <c r="H186" i="5"/>
  <c r="I186" i="5"/>
  <c r="J186" i="5"/>
  <c r="K186" i="5"/>
  <c r="L186" i="5"/>
  <c r="M186" i="5"/>
  <c r="C187" i="5"/>
  <c r="D187" i="5"/>
  <c r="E187" i="5"/>
  <c r="F187" i="5"/>
  <c r="G187" i="5"/>
  <c r="H187" i="5"/>
  <c r="I187" i="5"/>
  <c r="J187" i="5"/>
  <c r="K187" i="5"/>
  <c r="L187" i="5"/>
  <c r="M187" i="5"/>
  <c r="C188" i="5"/>
  <c r="D188" i="5"/>
  <c r="E188" i="5"/>
  <c r="F188" i="5"/>
  <c r="G188" i="5"/>
  <c r="H188" i="5"/>
  <c r="I188" i="5"/>
  <c r="J188" i="5"/>
  <c r="K188" i="5"/>
  <c r="L188" i="5"/>
  <c r="M188" i="5"/>
  <c r="C189" i="5"/>
  <c r="D189" i="5"/>
  <c r="E189" i="5"/>
  <c r="F189" i="5"/>
  <c r="G189" i="5"/>
  <c r="H189" i="5"/>
  <c r="I189" i="5"/>
  <c r="J189" i="5"/>
  <c r="K189" i="5"/>
  <c r="L189" i="5"/>
  <c r="M189" i="5"/>
  <c r="C190" i="5"/>
  <c r="D190" i="5"/>
  <c r="E190" i="5"/>
  <c r="F190" i="5"/>
  <c r="G190" i="5"/>
  <c r="H190" i="5"/>
  <c r="I190" i="5"/>
  <c r="J190" i="5"/>
  <c r="K190" i="5"/>
  <c r="L190" i="5"/>
  <c r="M190" i="5"/>
  <c r="C191" i="5"/>
  <c r="D191" i="5"/>
  <c r="E191" i="5"/>
  <c r="F191" i="5"/>
  <c r="G191" i="5"/>
  <c r="H191" i="5"/>
  <c r="I191" i="5"/>
  <c r="J191" i="5"/>
  <c r="K191" i="5"/>
  <c r="L191" i="5"/>
  <c r="M191" i="5"/>
  <c r="C192" i="5"/>
  <c r="D192" i="5"/>
  <c r="E192" i="5"/>
  <c r="F192" i="5"/>
  <c r="G192" i="5"/>
  <c r="H192" i="5"/>
  <c r="I192" i="5"/>
  <c r="J192" i="5"/>
  <c r="K192" i="5"/>
  <c r="L192" i="5"/>
  <c r="M192" i="5"/>
  <c r="C193" i="5"/>
  <c r="D193" i="5"/>
  <c r="E193" i="5"/>
  <c r="F193" i="5"/>
  <c r="G193" i="5"/>
  <c r="H193" i="5"/>
  <c r="I193" i="5"/>
  <c r="J193" i="5"/>
  <c r="K193" i="5"/>
  <c r="L193" i="5"/>
  <c r="M193" i="5"/>
  <c r="C194" i="5"/>
  <c r="D194" i="5"/>
  <c r="E194" i="5"/>
  <c r="F194" i="5"/>
  <c r="G194" i="5"/>
  <c r="H194" i="5"/>
  <c r="I194" i="5"/>
  <c r="J194" i="5"/>
  <c r="K194" i="5"/>
  <c r="L194" i="5"/>
  <c r="M194" i="5"/>
  <c r="C195" i="5"/>
  <c r="D195" i="5"/>
  <c r="E195" i="5"/>
  <c r="F195" i="5"/>
  <c r="G195" i="5"/>
  <c r="H195" i="5"/>
  <c r="I195" i="5"/>
  <c r="J195" i="5"/>
  <c r="K195" i="5"/>
  <c r="L195" i="5"/>
  <c r="M195" i="5"/>
  <c r="C196" i="5"/>
  <c r="D196" i="5"/>
  <c r="E196" i="5"/>
  <c r="F196" i="5"/>
  <c r="G196" i="5"/>
  <c r="H196" i="5"/>
  <c r="I196" i="5"/>
  <c r="J196" i="5"/>
  <c r="K196" i="5"/>
  <c r="L196" i="5"/>
  <c r="M196" i="5"/>
  <c r="C197" i="5"/>
  <c r="D197" i="5"/>
  <c r="E197" i="5"/>
  <c r="F197" i="5"/>
  <c r="G197" i="5"/>
  <c r="H197" i="5"/>
  <c r="I197" i="5"/>
  <c r="J197" i="5"/>
  <c r="K197" i="5"/>
  <c r="L197" i="5"/>
  <c r="M197" i="5"/>
  <c r="C198" i="5"/>
  <c r="D198" i="5"/>
  <c r="E198" i="5"/>
  <c r="F198" i="5"/>
  <c r="G198" i="5"/>
  <c r="H198" i="5"/>
  <c r="I198" i="5"/>
  <c r="J198" i="5"/>
  <c r="K198" i="5"/>
  <c r="L198" i="5"/>
  <c r="M198" i="5"/>
  <c r="C199" i="5"/>
  <c r="D199" i="5"/>
  <c r="E199" i="5"/>
  <c r="F199" i="5"/>
  <c r="G199" i="5"/>
  <c r="H199" i="5"/>
  <c r="I199" i="5"/>
  <c r="J199" i="5"/>
  <c r="K199" i="5"/>
  <c r="L199" i="5"/>
  <c r="M199" i="5"/>
  <c r="C200" i="5"/>
  <c r="D200" i="5"/>
  <c r="E200" i="5"/>
  <c r="F200" i="5"/>
  <c r="G200" i="5"/>
  <c r="H200" i="5"/>
  <c r="I200" i="5"/>
  <c r="J200" i="5"/>
  <c r="K200" i="5"/>
  <c r="L200" i="5"/>
  <c r="M200" i="5"/>
  <c r="C201" i="5"/>
  <c r="D201" i="5"/>
  <c r="E201" i="5"/>
  <c r="F201" i="5"/>
  <c r="G201" i="5"/>
  <c r="H201" i="5"/>
  <c r="I201" i="5"/>
  <c r="J201" i="5"/>
  <c r="K201" i="5"/>
  <c r="L201" i="5"/>
  <c r="M201" i="5"/>
  <c r="C35" i="5" l="1"/>
  <c r="D35" i="5"/>
  <c r="E35" i="5"/>
  <c r="F35" i="5"/>
  <c r="G35" i="5"/>
  <c r="H35" i="5"/>
  <c r="I35" i="5"/>
  <c r="J35" i="5"/>
  <c r="K35" i="5"/>
  <c r="L35" i="5"/>
  <c r="M35" i="5"/>
  <c r="C36" i="5"/>
  <c r="D36" i="5"/>
  <c r="E36" i="5"/>
  <c r="F36" i="5"/>
  <c r="G36" i="5"/>
  <c r="H36" i="5"/>
  <c r="I36" i="5"/>
  <c r="J36" i="5"/>
  <c r="K36" i="5"/>
  <c r="L36" i="5"/>
  <c r="M36" i="5"/>
  <c r="C37" i="5"/>
  <c r="D37" i="5"/>
  <c r="E37" i="5"/>
  <c r="F37" i="5"/>
  <c r="G37" i="5"/>
  <c r="H37" i="5"/>
  <c r="I37" i="5"/>
  <c r="J37" i="5"/>
  <c r="K37" i="5"/>
  <c r="L37" i="5"/>
  <c r="M37" i="5"/>
  <c r="C38" i="5"/>
  <c r="D38" i="5"/>
  <c r="E38" i="5"/>
  <c r="F38" i="5"/>
  <c r="G38" i="5"/>
  <c r="H38" i="5"/>
  <c r="I38" i="5"/>
  <c r="J38" i="5"/>
  <c r="K38" i="5"/>
  <c r="L38" i="5"/>
  <c r="M38" i="5"/>
  <c r="C39" i="5"/>
  <c r="D39" i="5"/>
  <c r="E39" i="5"/>
  <c r="F39" i="5"/>
  <c r="G39" i="5"/>
  <c r="H39" i="5"/>
  <c r="I39" i="5"/>
  <c r="J39" i="5"/>
  <c r="K39" i="5"/>
  <c r="L39" i="5"/>
  <c r="M39" i="5"/>
  <c r="C40" i="5"/>
  <c r="D40" i="5"/>
  <c r="E40" i="5"/>
  <c r="F40" i="5"/>
  <c r="G40" i="5"/>
  <c r="H40" i="5"/>
  <c r="I40" i="5"/>
  <c r="J40" i="5"/>
  <c r="K40" i="5"/>
  <c r="L40" i="5"/>
  <c r="M40" i="5"/>
  <c r="C41" i="5"/>
  <c r="D41" i="5"/>
  <c r="E41" i="5"/>
  <c r="F41" i="5"/>
  <c r="G41" i="5"/>
  <c r="H41" i="5"/>
  <c r="I41" i="5"/>
  <c r="J41" i="5"/>
  <c r="K41" i="5"/>
  <c r="L41" i="5"/>
  <c r="M41" i="5"/>
  <c r="C42" i="5"/>
  <c r="D42" i="5"/>
  <c r="E42" i="5"/>
  <c r="F42" i="5"/>
  <c r="G42" i="5"/>
  <c r="H42" i="5"/>
  <c r="I42" i="5"/>
  <c r="J42" i="5"/>
  <c r="K42" i="5"/>
  <c r="L42" i="5"/>
  <c r="M42" i="5"/>
  <c r="C43" i="5"/>
  <c r="D43" i="5"/>
  <c r="E43" i="5"/>
  <c r="F43" i="5"/>
  <c r="G43" i="5"/>
  <c r="H43" i="5"/>
  <c r="I43" i="5"/>
  <c r="J43" i="5"/>
  <c r="K43" i="5"/>
  <c r="L43" i="5"/>
  <c r="M43" i="5"/>
  <c r="C44" i="5"/>
  <c r="D44" i="5"/>
  <c r="E44" i="5"/>
  <c r="F44" i="5"/>
  <c r="G44" i="5"/>
  <c r="H44" i="5"/>
  <c r="I44" i="5"/>
  <c r="J44" i="5"/>
  <c r="K44" i="5"/>
  <c r="L44" i="5"/>
  <c r="M44" i="5"/>
  <c r="C45" i="5"/>
  <c r="D45" i="5"/>
  <c r="E45" i="5"/>
  <c r="F45" i="5"/>
  <c r="G45" i="5"/>
  <c r="H45" i="5"/>
  <c r="I45" i="5"/>
  <c r="J45" i="5"/>
  <c r="K45" i="5"/>
  <c r="L45" i="5"/>
  <c r="M45" i="5"/>
  <c r="C46" i="5"/>
  <c r="D46" i="5"/>
  <c r="E46" i="5"/>
  <c r="F46" i="5"/>
  <c r="G46" i="5"/>
  <c r="H46" i="5"/>
  <c r="I46" i="5"/>
  <c r="J46" i="5"/>
  <c r="K46" i="5"/>
  <c r="L46" i="5"/>
  <c r="M46" i="5"/>
  <c r="C47" i="5"/>
  <c r="D47" i="5"/>
  <c r="E47" i="5"/>
  <c r="F47" i="5"/>
  <c r="G47" i="5"/>
  <c r="H47" i="5"/>
  <c r="I47" i="5"/>
  <c r="J47" i="5"/>
  <c r="K47" i="5"/>
  <c r="L47" i="5"/>
  <c r="M47" i="5"/>
  <c r="C48" i="5"/>
  <c r="D48" i="5"/>
  <c r="E48" i="5"/>
  <c r="F48" i="5"/>
  <c r="G48" i="5"/>
  <c r="H48" i="5"/>
  <c r="I48" i="5"/>
  <c r="J48" i="5"/>
  <c r="K48" i="5"/>
  <c r="L48" i="5"/>
  <c r="M48" i="5"/>
  <c r="C49" i="5"/>
  <c r="D49" i="5"/>
  <c r="E49" i="5"/>
  <c r="F49" i="5"/>
  <c r="G49" i="5"/>
  <c r="H49" i="5"/>
  <c r="I49" i="5"/>
  <c r="J49" i="5"/>
  <c r="K49" i="5"/>
  <c r="L49" i="5"/>
  <c r="M49" i="5"/>
  <c r="C50" i="5"/>
  <c r="D50" i="5"/>
  <c r="E50" i="5"/>
  <c r="F50" i="5"/>
  <c r="G50" i="5"/>
  <c r="H50" i="5"/>
  <c r="I50" i="5"/>
  <c r="J50" i="5"/>
  <c r="K50" i="5"/>
  <c r="L50" i="5"/>
  <c r="M50" i="5"/>
  <c r="C51" i="5"/>
  <c r="D51" i="5"/>
  <c r="E51" i="5"/>
  <c r="F51" i="5"/>
  <c r="G51" i="5"/>
  <c r="H51" i="5"/>
  <c r="I51" i="5"/>
  <c r="J51" i="5"/>
  <c r="K51" i="5"/>
  <c r="L51" i="5"/>
  <c r="M51" i="5"/>
  <c r="C52" i="5"/>
  <c r="D52" i="5"/>
  <c r="E52" i="5"/>
  <c r="F52" i="5"/>
  <c r="G52" i="5"/>
  <c r="H52" i="5"/>
  <c r="I52" i="5"/>
  <c r="J52" i="5"/>
  <c r="K52" i="5"/>
  <c r="L52" i="5"/>
  <c r="M52" i="5"/>
  <c r="C53" i="5"/>
  <c r="D53" i="5"/>
  <c r="E53" i="5"/>
  <c r="F53" i="5"/>
  <c r="G53" i="5"/>
  <c r="H53" i="5"/>
  <c r="I53" i="5"/>
  <c r="J53" i="5"/>
  <c r="K53" i="5"/>
  <c r="L53" i="5"/>
  <c r="M53" i="5"/>
  <c r="C54" i="5"/>
  <c r="D54" i="5"/>
  <c r="E54" i="5"/>
  <c r="F54" i="5"/>
  <c r="G54" i="5"/>
  <c r="H54" i="5"/>
  <c r="I54" i="5"/>
  <c r="J54" i="5"/>
  <c r="K54" i="5"/>
  <c r="L54" i="5"/>
  <c r="M54" i="5"/>
  <c r="C55" i="5"/>
  <c r="D55" i="5"/>
  <c r="E55" i="5"/>
  <c r="F55" i="5"/>
  <c r="G55" i="5"/>
  <c r="H55" i="5"/>
  <c r="I55" i="5"/>
  <c r="J55" i="5"/>
  <c r="K55" i="5"/>
  <c r="L55" i="5"/>
  <c r="M55" i="5"/>
  <c r="C56" i="5"/>
  <c r="D56" i="5"/>
  <c r="E56" i="5"/>
  <c r="F56" i="5"/>
  <c r="G56" i="5"/>
  <c r="H56" i="5"/>
  <c r="I56" i="5"/>
  <c r="J56" i="5"/>
  <c r="K56" i="5"/>
  <c r="L56" i="5"/>
  <c r="M56" i="5"/>
  <c r="C57" i="5"/>
  <c r="D57" i="5"/>
  <c r="E57" i="5"/>
  <c r="F57" i="5"/>
  <c r="G57" i="5"/>
  <c r="H57" i="5"/>
  <c r="I57" i="5"/>
  <c r="J57" i="5"/>
  <c r="K57" i="5"/>
  <c r="L57" i="5"/>
  <c r="M57" i="5"/>
  <c r="C58" i="5"/>
  <c r="D58" i="5"/>
  <c r="E58" i="5"/>
  <c r="F58" i="5"/>
  <c r="G58" i="5"/>
  <c r="H58" i="5"/>
  <c r="I58" i="5"/>
  <c r="J58" i="5"/>
  <c r="K58" i="5"/>
  <c r="L58" i="5"/>
  <c r="M58" i="5"/>
  <c r="C59" i="5"/>
  <c r="D59" i="5"/>
  <c r="E59" i="5"/>
  <c r="F59" i="5"/>
  <c r="G59" i="5"/>
  <c r="H59" i="5"/>
  <c r="I59" i="5"/>
  <c r="J59" i="5"/>
  <c r="K59" i="5"/>
  <c r="L59" i="5"/>
  <c r="M59" i="5"/>
  <c r="C60" i="5"/>
  <c r="D60" i="5"/>
  <c r="E60" i="5"/>
  <c r="F60" i="5"/>
  <c r="G60" i="5"/>
  <c r="H60" i="5"/>
  <c r="I60" i="5"/>
  <c r="J60" i="5"/>
  <c r="K60" i="5"/>
  <c r="L60" i="5"/>
  <c r="M60" i="5"/>
  <c r="C61" i="5"/>
  <c r="D61" i="5"/>
  <c r="E61" i="5"/>
  <c r="F61" i="5"/>
  <c r="G61" i="5"/>
  <c r="H61" i="5"/>
  <c r="I61" i="5"/>
  <c r="J61" i="5"/>
  <c r="K61" i="5"/>
  <c r="L61" i="5"/>
  <c r="M61" i="5"/>
  <c r="C62" i="5"/>
  <c r="D62" i="5"/>
  <c r="E62" i="5"/>
  <c r="F62" i="5"/>
  <c r="G62" i="5"/>
  <c r="H62" i="5"/>
  <c r="I62" i="5"/>
  <c r="J62" i="5"/>
  <c r="K62" i="5"/>
  <c r="L62" i="5"/>
  <c r="M62" i="5"/>
  <c r="C63" i="5"/>
  <c r="D63" i="5"/>
  <c r="E63" i="5"/>
  <c r="F63" i="5"/>
  <c r="G63" i="5"/>
  <c r="H63" i="5"/>
  <c r="I63" i="5"/>
  <c r="J63" i="5"/>
  <c r="K63" i="5"/>
  <c r="L63" i="5"/>
  <c r="M63" i="5"/>
  <c r="C64" i="5"/>
  <c r="D64" i="5"/>
  <c r="E64" i="5"/>
  <c r="F64" i="5"/>
  <c r="G64" i="5"/>
  <c r="H64" i="5"/>
  <c r="I64" i="5"/>
  <c r="J64" i="5"/>
  <c r="K64" i="5"/>
  <c r="L64" i="5"/>
  <c r="M64" i="5"/>
  <c r="C65" i="5"/>
  <c r="D65" i="5"/>
  <c r="E65" i="5"/>
  <c r="F65" i="5"/>
  <c r="G65" i="5"/>
  <c r="H65" i="5"/>
  <c r="I65" i="5"/>
  <c r="J65" i="5"/>
  <c r="K65" i="5"/>
  <c r="L65" i="5"/>
  <c r="M65" i="5"/>
  <c r="C66" i="5"/>
  <c r="D66" i="5"/>
  <c r="E66" i="5"/>
  <c r="F66" i="5"/>
  <c r="G66" i="5"/>
  <c r="H66" i="5"/>
  <c r="I66" i="5"/>
  <c r="J66" i="5"/>
  <c r="K66" i="5"/>
  <c r="L66" i="5"/>
  <c r="M66" i="5"/>
  <c r="C67" i="5"/>
  <c r="D67" i="5"/>
  <c r="E67" i="5"/>
  <c r="F67" i="5"/>
  <c r="G67" i="5"/>
  <c r="H67" i="5"/>
  <c r="I67" i="5"/>
  <c r="J67" i="5"/>
  <c r="K67" i="5"/>
  <c r="L67" i="5"/>
  <c r="M67" i="5"/>
  <c r="C68" i="5"/>
  <c r="D68" i="5"/>
  <c r="E68" i="5"/>
  <c r="F68" i="5"/>
  <c r="G68" i="5"/>
  <c r="H68" i="5"/>
  <c r="I68" i="5"/>
  <c r="J68" i="5"/>
  <c r="K68" i="5"/>
  <c r="L68" i="5"/>
  <c r="M68" i="5"/>
  <c r="C69" i="5"/>
  <c r="D69" i="5"/>
  <c r="E69" i="5"/>
  <c r="F69" i="5"/>
  <c r="G69" i="5"/>
  <c r="H69" i="5"/>
  <c r="I69" i="5"/>
  <c r="J69" i="5"/>
  <c r="K69" i="5"/>
  <c r="L69" i="5"/>
  <c r="M69" i="5"/>
  <c r="C70" i="5"/>
  <c r="D70" i="5"/>
  <c r="E70" i="5"/>
  <c r="F70" i="5"/>
  <c r="G70" i="5"/>
  <c r="H70" i="5"/>
  <c r="I70" i="5"/>
  <c r="J70" i="5"/>
  <c r="K70" i="5"/>
  <c r="L70" i="5"/>
  <c r="M70" i="5"/>
  <c r="C71" i="5"/>
  <c r="D71" i="5"/>
  <c r="E71" i="5"/>
  <c r="F71" i="5"/>
  <c r="G71" i="5"/>
  <c r="H71" i="5"/>
  <c r="I71" i="5"/>
  <c r="J71" i="5"/>
  <c r="K71" i="5"/>
  <c r="L71" i="5"/>
  <c r="M71" i="5"/>
  <c r="C72" i="5"/>
  <c r="D72" i="5"/>
  <c r="E72" i="5"/>
  <c r="F72" i="5"/>
  <c r="G72" i="5"/>
  <c r="H72" i="5"/>
  <c r="I72" i="5"/>
  <c r="J72" i="5"/>
  <c r="K72" i="5"/>
  <c r="L72" i="5"/>
  <c r="M72" i="5"/>
  <c r="C73" i="5"/>
  <c r="D73" i="5"/>
  <c r="E73" i="5"/>
  <c r="F73" i="5"/>
  <c r="G73" i="5"/>
  <c r="H73" i="5"/>
  <c r="I73" i="5"/>
  <c r="J73" i="5"/>
  <c r="K73" i="5"/>
  <c r="L73" i="5"/>
  <c r="M73" i="5"/>
  <c r="C74" i="5"/>
  <c r="D74" i="5"/>
  <c r="E74" i="5"/>
  <c r="F74" i="5"/>
  <c r="G74" i="5"/>
  <c r="H74" i="5"/>
  <c r="I74" i="5"/>
  <c r="J74" i="5"/>
  <c r="K74" i="5"/>
  <c r="L74" i="5"/>
  <c r="M74" i="5"/>
  <c r="C75" i="5"/>
  <c r="D75" i="5"/>
  <c r="E75" i="5"/>
  <c r="F75" i="5"/>
  <c r="G75" i="5"/>
  <c r="H75" i="5"/>
  <c r="I75" i="5"/>
  <c r="J75" i="5"/>
  <c r="K75" i="5"/>
  <c r="L75" i="5"/>
  <c r="M75" i="5"/>
  <c r="C76" i="5"/>
  <c r="D76" i="5"/>
  <c r="E76" i="5"/>
  <c r="F76" i="5"/>
  <c r="G76" i="5"/>
  <c r="H76" i="5"/>
  <c r="I76" i="5"/>
  <c r="J76" i="5"/>
  <c r="K76" i="5"/>
  <c r="L76" i="5"/>
  <c r="M76" i="5"/>
  <c r="C77" i="5"/>
  <c r="D77" i="5"/>
  <c r="E77" i="5"/>
  <c r="F77" i="5"/>
  <c r="G77" i="5"/>
  <c r="H77" i="5"/>
  <c r="I77" i="5"/>
  <c r="J77" i="5"/>
  <c r="K77" i="5"/>
  <c r="L77" i="5"/>
  <c r="M77" i="5"/>
  <c r="C78" i="5"/>
  <c r="D78" i="5"/>
  <c r="E78" i="5"/>
  <c r="F78" i="5"/>
  <c r="G78" i="5"/>
  <c r="H78" i="5"/>
  <c r="I78" i="5"/>
  <c r="J78" i="5"/>
  <c r="K78" i="5"/>
  <c r="L78" i="5"/>
  <c r="M78" i="5"/>
  <c r="C79" i="5"/>
  <c r="D79" i="5"/>
  <c r="E79" i="5"/>
  <c r="F79" i="5"/>
  <c r="G79" i="5"/>
  <c r="H79" i="5"/>
  <c r="I79" i="5"/>
  <c r="J79" i="5"/>
  <c r="K79" i="5"/>
  <c r="L79" i="5"/>
  <c r="M79" i="5"/>
  <c r="C80" i="5"/>
  <c r="D80" i="5"/>
  <c r="E80" i="5"/>
  <c r="F80" i="5"/>
  <c r="G80" i="5"/>
  <c r="H80" i="5"/>
  <c r="I80" i="5"/>
  <c r="J80" i="5"/>
  <c r="K80" i="5"/>
  <c r="L80" i="5"/>
  <c r="M80" i="5"/>
  <c r="C81" i="5"/>
  <c r="D81" i="5"/>
  <c r="E81" i="5"/>
  <c r="F81" i="5"/>
  <c r="G81" i="5"/>
  <c r="H81" i="5"/>
  <c r="I81" i="5"/>
  <c r="J81" i="5"/>
  <c r="K81" i="5"/>
  <c r="L81" i="5"/>
  <c r="M81" i="5"/>
  <c r="C82" i="5"/>
  <c r="D82" i="5"/>
  <c r="E82" i="5"/>
  <c r="F82" i="5"/>
  <c r="G82" i="5"/>
  <c r="H82" i="5"/>
  <c r="I82" i="5"/>
  <c r="J82" i="5"/>
  <c r="K82" i="5"/>
  <c r="L82" i="5"/>
  <c r="M82" i="5"/>
  <c r="C83" i="5"/>
  <c r="D83" i="5"/>
  <c r="E83" i="5"/>
  <c r="F83" i="5"/>
  <c r="G83" i="5"/>
  <c r="H83" i="5"/>
  <c r="I83" i="5"/>
  <c r="J83" i="5"/>
  <c r="K83" i="5"/>
  <c r="L83" i="5"/>
  <c r="M83" i="5"/>
  <c r="C84" i="5"/>
  <c r="D84" i="5"/>
  <c r="E84" i="5"/>
  <c r="F84" i="5"/>
  <c r="G84" i="5"/>
  <c r="H84" i="5"/>
  <c r="I84" i="5"/>
  <c r="J84" i="5"/>
  <c r="K84" i="5"/>
  <c r="L84" i="5"/>
  <c r="M84" i="5"/>
  <c r="C85" i="5"/>
  <c r="D85" i="5"/>
  <c r="E85" i="5"/>
  <c r="F85" i="5"/>
  <c r="G85" i="5"/>
  <c r="H85" i="5"/>
  <c r="I85" i="5"/>
  <c r="J85" i="5"/>
  <c r="K85" i="5"/>
  <c r="L85" i="5"/>
  <c r="M85" i="5"/>
  <c r="C86" i="5"/>
  <c r="D86" i="5"/>
  <c r="E86" i="5"/>
  <c r="F86" i="5"/>
  <c r="G86" i="5"/>
  <c r="H86" i="5"/>
  <c r="I86" i="5"/>
  <c r="J86" i="5"/>
  <c r="K86" i="5"/>
  <c r="L86" i="5"/>
  <c r="M86" i="5"/>
  <c r="C87" i="5"/>
  <c r="D87" i="5"/>
  <c r="E87" i="5"/>
  <c r="F87" i="5"/>
  <c r="G87" i="5"/>
  <c r="H87" i="5"/>
  <c r="I87" i="5"/>
  <c r="J87" i="5"/>
  <c r="K87" i="5"/>
  <c r="L87" i="5"/>
  <c r="M87" i="5"/>
  <c r="C88" i="5"/>
  <c r="D88" i="5"/>
  <c r="E88" i="5"/>
  <c r="F88" i="5"/>
  <c r="G88" i="5"/>
  <c r="H88" i="5"/>
  <c r="I88" i="5"/>
  <c r="J88" i="5"/>
  <c r="K88" i="5"/>
  <c r="L88" i="5"/>
  <c r="M88" i="5"/>
  <c r="C89" i="5"/>
  <c r="D89" i="5"/>
  <c r="E89" i="5"/>
  <c r="F89" i="5"/>
  <c r="G89" i="5"/>
  <c r="H89" i="5"/>
  <c r="I89" i="5"/>
  <c r="J89" i="5"/>
  <c r="K89" i="5"/>
  <c r="L89" i="5"/>
  <c r="M89" i="5"/>
  <c r="C90" i="5"/>
  <c r="D90" i="5"/>
  <c r="E90" i="5"/>
  <c r="F90" i="5"/>
  <c r="G90" i="5"/>
  <c r="H90" i="5"/>
  <c r="I90" i="5"/>
  <c r="J90" i="5"/>
  <c r="K90" i="5"/>
  <c r="L90" i="5"/>
  <c r="M90" i="5"/>
  <c r="C91" i="5"/>
  <c r="D91" i="5"/>
  <c r="E91" i="5"/>
  <c r="F91" i="5"/>
  <c r="G91" i="5"/>
  <c r="H91" i="5"/>
  <c r="I91" i="5"/>
  <c r="J91" i="5"/>
  <c r="K91" i="5"/>
  <c r="L91" i="5"/>
  <c r="M91" i="5"/>
  <c r="C92" i="5"/>
  <c r="D92" i="5"/>
  <c r="E92" i="5"/>
  <c r="F92" i="5"/>
  <c r="G92" i="5"/>
  <c r="H92" i="5"/>
  <c r="I92" i="5"/>
  <c r="J92" i="5"/>
  <c r="K92" i="5"/>
  <c r="L92" i="5"/>
  <c r="M92" i="5"/>
  <c r="C93" i="5"/>
  <c r="D93" i="5"/>
  <c r="E93" i="5"/>
  <c r="F93" i="5"/>
  <c r="G93" i="5"/>
  <c r="H93" i="5"/>
  <c r="I93" i="5"/>
  <c r="J93" i="5"/>
  <c r="K93" i="5"/>
  <c r="L93" i="5"/>
  <c r="M93" i="5"/>
  <c r="C94" i="5"/>
  <c r="D94" i="5"/>
  <c r="E94" i="5"/>
  <c r="F94" i="5"/>
  <c r="G94" i="5"/>
  <c r="H94" i="5"/>
  <c r="I94" i="5"/>
  <c r="J94" i="5"/>
  <c r="K94" i="5"/>
  <c r="L94" i="5"/>
  <c r="M94" i="5"/>
  <c r="C95" i="5"/>
  <c r="D95" i="5"/>
  <c r="E95" i="5"/>
  <c r="F95" i="5"/>
  <c r="G95" i="5"/>
  <c r="H95" i="5"/>
  <c r="I95" i="5"/>
  <c r="J95" i="5"/>
  <c r="K95" i="5"/>
  <c r="L95" i="5"/>
  <c r="M95" i="5"/>
  <c r="C96" i="5"/>
  <c r="D96" i="5"/>
  <c r="E96" i="5"/>
  <c r="F96" i="5"/>
  <c r="G96" i="5"/>
  <c r="H96" i="5"/>
  <c r="I96" i="5"/>
  <c r="J96" i="5"/>
  <c r="K96" i="5"/>
  <c r="L96" i="5"/>
  <c r="M96" i="5"/>
  <c r="C5" i="5"/>
  <c r="D5" i="5"/>
  <c r="E5" i="5"/>
  <c r="F5" i="5"/>
  <c r="G5" i="5"/>
  <c r="H5" i="5"/>
  <c r="I5" i="5"/>
  <c r="J5" i="5"/>
  <c r="K5" i="5"/>
  <c r="L5" i="5"/>
  <c r="M5" i="5"/>
  <c r="C6" i="5"/>
  <c r="D6" i="5"/>
  <c r="E6" i="5"/>
  <c r="F6" i="5"/>
  <c r="G6" i="5"/>
  <c r="H6" i="5"/>
  <c r="I6" i="5"/>
  <c r="J6" i="5"/>
  <c r="K6" i="5"/>
  <c r="L6" i="5"/>
  <c r="M6" i="5"/>
  <c r="C7" i="5"/>
  <c r="D7" i="5"/>
  <c r="E7" i="5"/>
  <c r="F7" i="5"/>
  <c r="G7" i="5"/>
  <c r="H7" i="5"/>
  <c r="I7" i="5"/>
  <c r="J7" i="5"/>
  <c r="K7" i="5"/>
  <c r="L7" i="5"/>
  <c r="M7" i="5"/>
  <c r="C8" i="5"/>
  <c r="D8" i="5"/>
  <c r="E8" i="5"/>
  <c r="F8" i="5"/>
  <c r="G8" i="5"/>
  <c r="H8" i="5"/>
  <c r="I8" i="5"/>
  <c r="J8" i="5"/>
  <c r="K8" i="5"/>
  <c r="L8" i="5"/>
  <c r="M8" i="5"/>
  <c r="C9" i="5"/>
  <c r="D9" i="5"/>
  <c r="E9" i="5"/>
  <c r="F9" i="5"/>
  <c r="G9" i="5"/>
  <c r="H9" i="5"/>
  <c r="I9" i="5"/>
  <c r="J9" i="5"/>
  <c r="K9" i="5"/>
  <c r="L9" i="5"/>
  <c r="M9" i="5"/>
  <c r="C10" i="5"/>
  <c r="D10" i="5"/>
  <c r="E10" i="5"/>
  <c r="F10" i="5"/>
  <c r="G10" i="5"/>
  <c r="H10" i="5"/>
  <c r="I10" i="5"/>
  <c r="J10" i="5"/>
  <c r="K10" i="5"/>
  <c r="L10" i="5"/>
  <c r="M10" i="5"/>
  <c r="C11" i="5"/>
  <c r="D11" i="5"/>
  <c r="E11" i="5"/>
  <c r="F11" i="5"/>
  <c r="G11" i="5"/>
  <c r="H11" i="5"/>
  <c r="I11" i="5"/>
  <c r="J11" i="5"/>
  <c r="K11" i="5"/>
  <c r="L11" i="5"/>
  <c r="M11" i="5"/>
  <c r="C12" i="5"/>
  <c r="D12" i="5"/>
  <c r="E12" i="5"/>
  <c r="F12" i="5"/>
  <c r="G12" i="5"/>
  <c r="H12" i="5"/>
  <c r="I12" i="5"/>
  <c r="J12" i="5"/>
  <c r="K12" i="5"/>
  <c r="L12" i="5"/>
  <c r="M12" i="5"/>
  <c r="C13" i="5"/>
  <c r="D13" i="5"/>
  <c r="E13" i="5"/>
  <c r="F13" i="5"/>
  <c r="G13" i="5"/>
  <c r="H13" i="5"/>
  <c r="I13" i="5"/>
  <c r="J13" i="5"/>
  <c r="K13" i="5"/>
  <c r="L13" i="5"/>
  <c r="M13" i="5"/>
  <c r="C14" i="5"/>
  <c r="D14" i="5"/>
  <c r="E14" i="5"/>
  <c r="F14" i="5"/>
  <c r="G14" i="5"/>
  <c r="H14" i="5"/>
  <c r="I14" i="5"/>
  <c r="J14" i="5"/>
  <c r="K14" i="5"/>
  <c r="L14" i="5"/>
  <c r="M14" i="5"/>
  <c r="C15" i="5"/>
  <c r="D15" i="5"/>
  <c r="E15" i="5"/>
  <c r="F15" i="5"/>
  <c r="G15" i="5"/>
  <c r="H15" i="5"/>
  <c r="I15" i="5"/>
  <c r="J15" i="5"/>
  <c r="K15" i="5"/>
  <c r="L15" i="5"/>
  <c r="M15" i="5"/>
  <c r="C16" i="5"/>
  <c r="D16" i="5"/>
  <c r="E16" i="5"/>
  <c r="F16" i="5"/>
  <c r="G16" i="5"/>
  <c r="H16" i="5"/>
  <c r="I16" i="5"/>
  <c r="J16" i="5"/>
  <c r="K16" i="5"/>
  <c r="L16" i="5"/>
  <c r="M16" i="5"/>
  <c r="C17" i="5"/>
  <c r="D17" i="5"/>
  <c r="E17" i="5"/>
  <c r="F17" i="5"/>
  <c r="G17" i="5"/>
  <c r="H17" i="5"/>
  <c r="I17" i="5"/>
  <c r="J17" i="5"/>
  <c r="K17" i="5"/>
  <c r="L17" i="5"/>
  <c r="M17" i="5"/>
  <c r="C18" i="5"/>
  <c r="D18" i="5"/>
  <c r="E18" i="5"/>
  <c r="F18" i="5"/>
  <c r="G18" i="5"/>
  <c r="H18" i="5"/>
  <c r="I18" i="5"/>
  <c r="J18" i="5"/>
  <c r="K18" i="5"/>
  <c r="L18" i="5"/>
  <c r="M18" i="5"/>
  <c r="C19" i="5"/>
  <c r="D19" i="5"/>
  <c r="E19" i="5"/>
  <c r="F19" i="5"/>
  <c r="G19" i="5"/>
  <c r="H19" i="5"/>
  <c r="I19" i="5"/>
  <c r="J19" i="5"/>
  <c r="K19" i="5"/>
  <c r="L19" i="5"/>
  <c r="M19" i="5"/>
  <c r="C20" i="5"/>
  <c r="D20" i="5"/>
  <c r="E20" i="5"/>
  <c r="F20" i="5"/>
  <c r="G20" i="5"/>
  <c r="H20" i="5"/>
  <c r="I20" i="5"/>
  <c r="J20" i="5"/>
  <c r="K20" i="5"/>
  <c r="L20" i="5"/>
  <c r="M20" i="5"/>
  <c r="C21" i="5"/>
  <c r="D21" i="5"/>
  <c r="E21" i="5"/>
  <c r="F21" i="5"/>
  <c r="G21" i="5"/>
  <c r="H21" i="5"/>
  <c r="I21" i="5"/>
  <c r="J21" i="5"/>
  <c r="K21" i="5"/>
  <c r="L21" i="5"/>
  <c r="M21" i="5"/>
  <c r="C22" i="5"/>
  <c r="D22" i="5"/>
  <c r="E22" i="5"/>
  <c r="F22" i="5"/>
  <c r="G22" i="5"/>
  <c r="H22" i="5"/>
  <c r="I22" i="5"/>
  <c r="J22" i="5"/>
  <c r="K22" i="5"/>
  <c r="L22" i="5"/>
  <c r="M22" i="5"/>
  <c r="C23" i="5"/>
  <c r="D23" i="5"/>
  <c r="E23" i="5"/>
  <c r="F23" i="5"/>
  <c r="G23" i="5"/>
  <c r="H23" i="5"/>
  <c r="I23" i="5"/>
  <c r="J23" i="5"/>
  <c r="K23" i="5"/>
  <c r="L23" i="5"/>
  <c r="M23" i="5"/>
  <c r="C24" i="5"/>
  <c r="D24" i="5"/>
  <c r="E24" i="5"/>
  <c r="F24" i="5"/>
  <c r="G24" i="5"/>
  <c r="H24" i="5"/>
  <c r="I24" i="5"/>
  <c r="J24" i="5"/>
  <c r="K24" i="5"/>
  <c r="L24" i="5"/>
  <c r="M24" i="5"/>
  <c r="C25" i="5"/>
  <c r="D25" i="5"/>
  <c r="E25" i="5"/>
  <c r="F25" i="5"/>
  <c r="G25" i="5"/>
  <c r="H25" i="5"/>
  <c r="I25" i="5"/>
  <c r="J25" i="5"/>
  <c r="K25" i="5"/>
  <c r="L25" i="5"/>
  <c r="M25" i="5"/>
  <c r="C26" i="5"/>
  <c r="D26" i="5"/>
  <c r="E26" i="5"/>
  <c r="F26" i="5"/>
  <c r="G26" i="5"/>
  <c r="H26" i="5"/>
  <c r="I26" i="5"/>
  <c r="J26" i="5"/>
  <c r="K26" i="5"/>
  <c r="L26" i="5"/>
  <c r="M26" i="5"/>
  <c r="C27" i="5"/>
  <c r="D27" i="5"/>
  <c r="E27" i="5"/>
  <c r="F27" i="5"/>
  <c r="G27" i="5"/>
  <c r="H27" i="5"/>
  <c r="I27" i="5"/>
  <c r="J27" i="5"/>
  <c r="K27" i="5"/>
  <c r="L27" i="5"/>
  <c r="M27" i="5"/>
  <c r="C28" i="5"/>
  <c r="D28" i="5"/>
  <c r="E28" i="5"/>
  <c r="F28" i="5"/>
  <c r="G28" i="5"/>
  <c r="H28" i="5"/>
  <c r="I28" i="5"/>
  <c r="J28" i="5"/>
  <c r="K28" i="5"/>
  <c r="L28" i="5"/>
  <c r="M28" i="5"/>
  <c r="C29" i="5"/>
  <c r="D29" i="5"/>
  <c r="E29" i="5"/>
  <c r="F29" i="5"/>
  <c r="G29" i="5"/>
  <c r="H29" i="5"/>
  <c r="I29" i="5"/>
  <c r="J29" i="5"/>
  <c r="K29" i="5"/>
  <c r="L29" i="5"/>
  <c r="M29" i="5"/>
  <c r="C30" i="5"/>
  <c r="D30" i="5"/>
  <c r="E30" i="5"/>
  <c r="F30" i="5"/>
  <c r="G30" i="5"/>
  <c r="H30" i="5"/>
  <c r="I30" i="5"/>
  <c r="J30" i="5"/>
  <c r="K30" i="5"/>
  <c r="L30" i="5"/>
  <c r="M30" i="5"/>
  <c r="C31" i="5"/>
  <c r="D31" i="5"/>
  <c r="E31" i="5"/>
  <c r="F31" i="5"/>
  <c r="G31" i="5"/>
  <c r="H31" i="5"/>
  <c r="I31" i="5"/>
  <c r="J31" i="5"/>
  <c r="K31" i="5"/>
  <c r="L31" i="5"/>
  <c r="M31" i="5"/>
  <c r="C32" i="5"/>
  <c r="D32" i="5"/>
  <c r="E32" i="5"/>
  <c r="F32" i="5"/>
  <c r="G32" i="5"/>
  <c r="H32" i="5"/>
  <c r="I32" i="5"/>
  <c r="J32" i="5"/>
  <c r="K32" i="5"/>
  <c r="L32" i="5"/>
  <c r="M32" i="5"/>
  <c r="C33" i="5"/>
  <c r="D33" i="5"/>
  <c r="E33" i="5"/>
  <c r="F33" i="5"/>
  <c r="G33" i="5"/>
  <c r="H33" i="5"/>
  <c r="I33" i="5"/>
  <c r="J33" i="5"/>
  <c r="K33" i="5"/>
  <c r="L33" i="5"/>
  <c r="M33" i="5"/>
  <c r="C34" i="5"/>
  <c r="D34" i="5"/>
  <c r="E34" i="5"/>
  <c r="F34" i="5"/>
  <c r="G34" i="5"/>
  <c r="H34" i="5"/>
  <c r="I34" i="5"/>
  <c r="J34" i="5"/>
  <c r="K34" i="5"/>
  <c r="L34" i="5"/>
  <c r="M34" i="5"/>
  <c r="C3" i="5"/>
  <c r="D3" i="5"/>
  <c r="E3" i="5"/>
  <c r="F3" i="5"/>
  <c r="G3" i="5"/>
  <c r="H3" i="5"/>
  <c r="I3" i="5"/>
  <c r="J3" i="5"/>
  <c r="K3" i="5"/>
  <c r="L3" i="5"/>
  <c r="M3" i="5"/>
  <c r="C4" i="5"/>
  <c r="D4" i="5"/>
  <c r="E4" i="5"/>
  <c r="F4" i="5"/>
  <c r="G4" i="5"/>
  <c r="H4" i="5"/>
  <c r="I4" i="5"/>
  <c r="J4" i="5"/>
  <c r="K4" i="5"/>
  <c r="L4" i="5"/>
  <c r="M4" i="5"/>
  <c r="M2" i="5"/>
  <c r="L2" i="5"/>
  <c r="K2" i="5"/>
  <c r="J2" i="5"/>
  <c r="I2" i="5"/>
  <c r="H2" i="5"/>
  <c r="G2" i="5"/>
  <c r="F2" i="5"/>
  <c r="E2" i="5"/>
  <c r="D2" i="5"/>
  <c r="C2" i="5"/>
</calcChain>
</file>

<file path=xl/sharedStrings.xml><?xml version="1.0" encoding="utf-8"?>
<sst xmlns="http://schemas.openxmlformats.org/spreadsheetml/2006/main" count="25" uniqueCount="13">
  <si>
    <t>RRO</t>
  </si>
  <si>
    <t>LRO</t>
  </si>
  <si>
    <t>BARCODE</t>
  </si>
  <si>
    <t>RFV</t>
  </si>
  <si>
    <t>H1RFV</t>
  </si>
  <si>
    <t>LFV</t>
  </si>
  <si>
    <t>PLY</t>
  </si>
  <si>
    <t>CONICITY</t>
  </si>
  <si>
    <t>DEPRES</t>
  </si>
  <si>
    <t>WOBBLE</t>
  </si>
  <si>
    <t>UNB_DY_LO</t>
  </si>
  <si>
    <t>UNB_DY_UP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</si>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</sst>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 applyAlignment="1" applyProtection="1">
      <alignment horizontal="center"/>
    </xf>
    <xf numFmtId="0" fontId="0" fillId="0" borderId="0" xfId="0" applyProtection="1"/>
    <xf numFmtId="0" fontId="0" fillId="0" borderId="1" xfId="0" applyBorder="1" applyProtection="1"/>
    <xf numFmtId="0" fontId="0" fillId="2" borderId="0" xfId="0" applyFill="1"/>
    <xf numFmtId="0" fontId="0" fillId="0" borderId="0" xfId="0" applyProtection="1">
      <protection locked="0"/>
    </xf>
    <xf numFmtId="0" fontId="0" fillId="0" borderId="0" xfId="0"/>
    <xf numFmtId="0" fontId="0" fillId="0" borderId="0" xfId="0" applyFill="1" applyBorder="1"/>
    <xf numFmtId="22" fontId="0" fillId="0" borderId="0" xfId="0" applyNumberFormat="1"/>
    <xf numFmtId="0" fontId="0" fillId="0" borderId="0" xfId="0"/>
    <xf numFmtId="0" fontId="0" fillId="0" borderId="0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3</xdr:row>
      <xdr:rowOff>38100</xdr:rowOff>
    </xdr:from>
    <xdr:to>
      <xdr:col>5</xdr:col>
      <xdr:colOff>66675</xdr:colOff>
      <xdr:row>10</xdr:row>
      <xdr:rowOff>76200</xdr:rowOff>
    </xdr:to>
    <xdr:sp macro="[0]!CC_U" textlink="">
      <xdr:nvSpPr>
        <xdr:cNvPr id="2" name="Rounded Rectangle 1"/>
        <xdr:cNvSpPr/>
      </xdr:nvSpPr>
      <xdr:spPr>
        <a:xfrm>
          <a:off x="847725" y="609600"/>
          <a:ext cx="2266950" cy="13716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 prst="slope"/>
          </a:sp3d>
        </a:bodyPr>
        <a:lstStyle/>
        <a:p>
          <a:pPr algn="ctr"/>
          <a:r>
            <a:rPr lang="en-US" sz="6600" smtClean="0">
              <a:solidFill>
                <a:schemeClr val="lt1"/>
              </a:solidFill>
              <a:latin typeface="+mn-lt"/>
              <a:ea typeface="+mn-ea"/>
              <a:cs typeface="+mn-cs"/>
            </a:rPr>
            <a:t>►</a:t>
          </a:r>
          <a:endParaRPr lang="en-US" sz="6600"/>
        </a:p>
      </xdr:txBody>
    </xdr:sp>
    <xdr:clientData/>
  </xdr:twoCellAnchor>
  <xdr:twoCellAnchor>
    <xdr:from>
      <xdr:col>5</xdr:col>
      <xdr:colOff>581025</xdr:colOff>
      <xdr:row>3</xdr:row>
      <xdr:rowOff>38100</xdr:rowOff>
    </xdr:from>
    <xdr:to>
      <xdr:col>9</xdr:col>
      <xdr:colOff>409575</xdr:colOff>
      <xdr:row>10</xdr:row>
      <xdr:rowOff>76200</xdr:rowOff>
    </xdr:to>
    <xdr:sp macro="[0]!sıfırla" textlink="">
      <xdr:nvSpPr>
        <xdr:cNvPr id="5" name="Rounded Rectangle 4"/>
        <xdr:cNvSpPr/>
      </xdr:nvSpPr>
      <xdr:spPr>
        <a:xfrm>
          <a:off x="3629025" y="609600"/>
          <a:ext cx="2266950" cy="13716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 prst="slope"/>
          </a:sp3d>
        </a:bodyPr>
        <a:lstStyle/>
        <a:p>
          <a:pPr algn="ctr"/>
          <a:r>
            <a:rPr lang="en-US" sz="6600" smtClean="0">
              <a:solidFill>
                <a:schemeClr val="lt1"/>
              </a:solidFill>
              <a:latin typeface="+mn-lt"/>
              <a:ea typeface="+mn-ea"/>
              <a:cs typeface="+mn-cs"/>
            </a:rPr>
            <a:t>►</a:t>
          </a:r>
          <a:endParaRPr lang="en-US" sz="6600"/>
        </a:p>
      </xdr:txBody>
    </xdr:sp>
    <xdr:clientData/>
  </xdr:twoCellAnchor>
  <xdr:oneCellAnchor>
    <xdr:from>
      <xdr:col>2</xdr:col>
      <xdr:colOff>290187</xdr:colOff>
      <xdr:row>1</xdr:row>
      <xdr:rowOff>29233</xdr:rowOff>
    </xdr:from>
    <xdr:ext cx="914739" cy="374141"/>
    <xdr:sp macro="" textlink="">
      <xdr:nvSpPr>
        <xdr:cNvPr id="6" name="TextBox 5"/>
        <xdr:cNvSpPr txBox="1"/>
      </xdr:nvSpPr>
      <xdr:spPr>
        <a:xfrm>
          <a:off x="1395087" y="219733"/>
          <a:ext cx="91473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tr-TR" sz="1800" b="1"/>
            <a:t>BAŞLAT</a:t>
          </a:r>
          <a:endParaRPr lang="en-US" sz="1800" b="1"/>
        </a:p>
      </xdr:txBody>
    </xdr:sp>
    <xdr:clientData/>
  </xdr:oneCellAnchor>
  <xdr:oneCellAnchor>
    <xdr:from>
      <xdr:col>7</xdr:col>
      <xdr:colOff>16686</xdr:colOff>
      <xdr:row>1</xdr:row>
      <xdr:rowOff>29233</xdr:rowOff>
    </xdr:from>
    <xdr:ext cx="890244" cy="374141"/>
    <xdr:sp macro="" textlink="">
      <xdr:nvSpPr>
        <xdr:cNvPr id="7" name="TextBox 6"/>
        <xdr:cNvSpPr txBox="1"/>
      </xdr:nvSpPr>
      <xdr:spPr>
        <a:xfrm>
          <a:off x="4169586" y="219733"/>
          <a:ext cx="8902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/>
            <a:t>SIFIRLA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873"/>
  <sheetViews>
    <sheetView tabSelected="1" workbookViewId="0">
      <selection activeCell="D9" sqref="D9"/>
    </sheetView>
  </sheetViews>
  <sheetFormatPr defaultRowHeight="15" x14ac:dyDescent="0.25"/>
  <cols>
    <col min="1" max="1" width="11" style="7" bestFit="1" customWidth="1"/>
    <col min="2" max="16384" width="9.140625" style="7"/>
  </cols>
  <sheetData>
    <row r="1" spans="1:44" x14ac:dyDescent="0.25">
      <c r="A1" s="10"/>
      <c r="B1" s="10"/>
      <c r="C1" s="10"/>
      <c r="D1" s="1"/>
      <c r="E1" s="10"/>
      <c r="F1" s="1"/>
      <c r="G1" s="10"/>
      <c r="H1" s="10"/>
      <c r="I1" s="10"/>
      <c r="J1" s="10"/>
      <c r="K1" s="1"/>
      <c r="L1" s="10"/>
      <c r="M1" s="10"/>
      <c r="N1" s="10"/>
      <c r="O1" s="1"/>
      <c r="P1" s="10"/>
      <c r="Q1" s="10"/>
      <c r="R1" s="1"/>
      <c r="S1" s="10"/>
      <c r="T1" s="10"/>
      <c r="U1" s="1"/>
      <c r="V1" s="10"/>
      <c r="W1" s="10"/>
      <c r="X1" s="10"/>
      <c r="Y1" s="1"/>
      <c r="Z1" s="10"/>
      <c r="AA1" s="1"/>
      <c r="AB1" s="10"/>
      <c r="AC1" s="10"/>
      <c r="AD1" s="1"/>
      <c r="AE1" s="10"/>
      <c r="AF1" s="1"/>
      <c r="AG1" s="10"/>
      <c r="AH1" s="10"/>
      <c r="AI1" s="10"/>
      <c r="AJ1" s="10"/>
      <c r="AK1" s="1"/>
      <c r="AL1" s="10"/>
      <c r="AM1" s="10"/>
      <c r="AN1" s="1"/>
      <c r="AO1" s="10"/>
      <c r="AP1" s="10"/>
      <c r="AQ1" s="1"/>
      <c r="AR1" s="10"/>
    </row>
    <row r="2" spans="1:44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</row>
    <row r="3" spans="1:44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</row>
    <row r="4" spans="1:44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</row>
    <row r="5" spans="1:44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</row>
    <row r="6" spans="1:44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</row>
    <row r="7" spans="1:44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</row>
    <row r="8" spans="1:44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</row>
    <row r="9" spans="1:44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</row>
    <row r="10" spans="1:44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</row>
    <row r="11" spans="1:44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</row>
    <row r="12" spans="1:44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</row>
    <row r="13" spans="1:44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</row>
    <row r="14" spans="1:44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</row>
    <row r="15" spans="1:44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</row>
    <row r="16" spans="1:44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</row>
    <row r="17" spans="1:44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</row>
    <row r="18" spans="1:44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</row>
    <row r="19" spans="1:44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</row>
    <row r="20" spans="1:44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</row>
    <row r="21" spans="1:44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</row>
    <row r="22" spans="1:44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</row>
    <row r="23" spans="1:44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</row>
    <row r="24" spans="1:44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</row>
    <row r="25" spans="1:44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</row>
    <row r="26" spans="1:44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</row>
    <row r="27" spans="1:44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</row>
    <row r="28" spans="1:44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</row>
    <row r="29" spans="1:44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</row>
    <row r="30" spans="1:44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</row>
    <row r="31" spans="1:44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</row>
    <row r="32" spans="1:44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</row>
    <row r="33" spans="1:44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</row>
    <row r="34" spans="1:44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</row>
    <row r="35" spans="1:44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</row>
    <row r="36" spans="1:44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</row>
    <row r="37" spans="1:44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</row>
    <row r="38" spans="1:44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</row>
    <row r="39" spans="1:44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</row>
    <row r="40" spans="1:44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</row>
    <row r="41" spans="1:44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</row>
    <row r="42" spans="1:44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</row>
    <row r="43" spans="1:44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</row>
    <row r="44" spans="1:44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</row>
    <row r="45" spans="1:44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</row>
    <row r="46" spans="1:44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</row>
    <row r="47" spans="1:44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</row>
    <row r="48" spans="1:44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</row>
    <row r="49" spans="1:44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</row>
    <row r="50" spans="1:44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</row>
    <row r="51" spans="1:44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</row>
    <row r="52" spans="1:44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</row>
    <row r="53" spans="1:44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</row>
    <row r="54" spans="1:44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</row>
    <row r="55" spans="1:44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</row>
    <row r="56" spans="1:44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</row>
    <row r="57" spans="1:44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</row>
    <row r="58" spans="1:44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</row>
    <row r="59" spans="1:44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</row>
    <row r="60" spans="1:44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</row>
    <row r="61" spans="1:44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</row>
    <row r="62" spans="1:44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</row>
    <row r="63" spans="1:44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</row>
    <row r="64" spans="1:44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</row>
    <row r="65" spans="1:44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</row>
    <row r="66" spans="1:44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</row>
    <row r="67" spans="1:44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</row>
    <row r="68" spans="1:44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</row>
    <row r="69" spans="1:44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</row>
    <row r="70" spans="1:44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</row>
    <row r="71" spans="1:44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</row>
    <row r="72" spans="1:44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</row>
    <row r="73" spans="1:44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</row>
    <row r="74" spans="1:44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</row>
    <row r="75" spans="1:44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</row>
    <row r="76" spans="1:44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</row>
    <row r="77" spans="1:44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</row>
    <row r="78" spans="1:44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</row>
    <row r="79" spans="1:44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</row>
    <row r="80" spans="1:44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</row>
    <row r="81" spans="1:44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</row>
    <row r="82" spans="1:44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</row>
    <row r="83" spans="1:44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</row>
    <row r="84" spans="1:44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</row>
    <row r="85" spans="1:44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</row>
    <row r="86" spans="1:44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</row>
    <row r="87" spans="1:44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</row>
    <row r="88" spans="1:44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</row>
    <row r="89" spans="1:44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</row>
    <row r="90" spans="1:44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</row>
    <row r="91" spans="1:44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</row>
    <row r="92" spans="1:44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</row>
    <row r="93" spans="1:44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</row>
    <row r="94" spans="1:44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</row>
    <row r="95" spans="1:44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</row>
    <row r="96" spans="1:44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</row>
    <row r="97" spans="1:44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</row>
    <row r="98" spans="1:44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</row>
    <row r="99" spans="1:44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</row>
    <row r="100" spans="1:44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</row>
    <row r="101" spans="1:44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</row>
    <row r="102" spans="1:44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</row>
    <row r="103" spans="1:44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</row>
    <row r="104" spans="1:44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</row>
    <row r="105" spans="1:44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</row>
    <row r="106" spans="1:44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</row>
    <row r="107" spans="1:44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</row>
    <row r="108" spans="1:44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</row>
    <row r="109" spans="1:44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</row>
    <row r="110" spans="1:44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</row>
    <row r="111" spans="1:44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</row>
    <row r="112" spans="1:44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</row>
    <row r="113" spans="1:44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</row>
    <row r="114" spans="1:44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</row>
    <row r="115" spans="1:44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</row>
    <row r="116" spans="1:44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</row>
    <row r="117" spans="1:44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</row>
    <row r="118" spans="1:44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</row>
    <row r="119" spans="1:44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</row>
    <row r="120" spans="1:44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</row>
    <row r="121" spans="1:44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</row>
    <row r="122" spans="1:44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</row>
    <row r="123" spans="1:44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</row>
    <row r="124" spans="1:44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</row>
    <row r="125" spans="1:44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</row>
    <row r="126" spans="1:44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</row>
    <row r="127" spans="1:44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</row>
    <row r="128" spans="1:44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</row>
    <row r="129" spans="1:44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</row>
    <row r="130" spans="1:44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</row>
    <row r="131" spans="1:44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</row>
    <row r="132" spans="1:44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</row>
    <row r="133" spans="1:44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</row>
    <row r="134" spans="1:44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</row>
    <row r="135" spans="1:44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</row>
    <row r="136" spans="1:44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</row>
    <row r="137" spans="1:44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</row>
    <row r="138" spans="1:44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</row>
    <row r="139" spans="1:44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</row>
    <row r="140" spans="1:44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</row>
    <row r="141" spans="1:44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</row>
    <row r="142" spans="1:44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</row>
    <row r="143" spans="1:44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</row>
    <row r="144" spans="1:44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</row>
    <row r="145" spans="1:44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</row>
    <row r="146" spans="1:44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</row>
    <row r="147" spans="1:44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</row>
    <row r="148" spans="1:44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</row>
    <row r="149" spans="1:44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</row>
    <row r="150" spans="1:44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</row>
    <row r="151" spans="1:44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</row>
    <row r="152" spans="1:44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</row>
    <row r="153" spans="1:44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</row>
    <row r="154" spans="1:44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</row>
    <row r="155" spans="1:44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</row>
    <row r="156" spans="1:44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</row>
    <row r="157" spans="1:44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</row>
    <row r="158" spans="1:44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</row>
    <row r="159" spans="1:44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</row>
    <row r="160" spans="1:44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</row>
    <row r="161" spans="1:44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</row>
    <row r="162" spans="1:44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</row>
    <row r="163" spans="1:44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</row>
    <row r="164" spans="1:44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</row>
    <row r="165" spans="1:44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</row>
    <row r="166" spans="1:44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</row>
    <row r="167" spans="1:44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</row>
    <row r="168" spans="1:44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</row>
    <row r="169" spans="1:44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</row>
    <row r="170" spans="1:44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</row>
    <row r="171" spans="1:44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</row>
    <row r="172" spans="1:44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</row>
    <row r="173" spans="1:44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</row>
    <row r="174" spans="1:44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</row>
    <row r="175" spans="1:44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</row>
    <row r="176" spans="1:44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</row>
    <row r="177" spans="1:44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</row>
    <row r="178" spans="1:44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</row>
    <row r="179" spans="1:44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</row>
    <row r="180" spans="1:44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</row>
    <row r="181" spans="1:44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</row>
    <row r="182" spans="1:44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</row>
    <row r="183" spans="1:44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</row>
    <row r="184" spans="1:44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</row>
    <row r="185" spans="1:44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</row>
    <row r="186" spans="1:44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</row>
    <row r="187" spans="1:44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</row>
    <row r="188" spans="1:44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</row>
    <row r="189" spans="1:44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</row>
    <row r="190" spans="1:44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</row>
    <row r="191" spans="1:44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</row>
    <row r="192" spans="1:44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</row>
    <row r="193" spans="1:44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</row>
    <row r="194" spans="1:44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</row>
    <row r="195" spans="1:44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</row>
    <row r="196" spans="1:44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</row>
    <row r="197" spans="1:44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</row>
    <row r="198" spans="1:44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</row>
    <row r="199" spans="1:44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</row>
    <row r="200" spans="1:44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</row>
    <row r="201" spans="1:44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</row>
    <row r="202" spans="1:44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</row>
    <row r="203" spans="1:44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</row>
    <row r="204" spans="1:44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</row>
    <row r="205" spans="1:44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</row>
    <row r="206" spans="1:44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</row>
    <row r="207" spans="1:44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</row>
    <row r="208" spans="1:44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</row>
    <row r="209" spans="1:44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</row>
    <row r="210" spans="1:44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</row>
    <row r="211" spans="1:44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</row>
    <row r="212" spans="1:44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</row>
    <row r="213" spans="1:44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</row>
    <row r="214" spans="1:44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</row>
    <row r="215" spans="1:44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</row>
    <row r="216" spans="1:44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</row>
    <row r="217" spans="1:44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</row>
    <row r="218" spans="1:44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</row>
    <row r="219" spans="1:44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</row>
    <row r="220" spans="1:44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</row>
    <row r="221" spans="1:44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</row>
    <row r="222" spans="1:44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</row>
    <row r="223" spans="1:44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</row>
    <row r="224" spans="1:44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</row>
    <row r="225" spans="1:44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</row>
    <row r="226" spans="1:44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</row>
    <row r="227" spans="1:44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</row>
    <row r="228" spans="1:44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</row>
    <row r="229" spans="1:44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</row>
    <row r="230" spans="1:44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</row>
    <row r="231" spans="1:44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</row>
    <row r="232" spans="1:44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</row>
    <row r="233" spans="1:44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</row>
    <row r="234" spans="1:44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</row>
    <row r="235" spans="1:44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</row>
    <row r="236" spans="1:44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</row>
    <row r="237" spans="1:44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</row>
    <row r="238" spans="1:44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</row>
    <row r="239" spans="1:44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</row>
    <row r="240" spans="1:44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</row>
    <row r="241" spans="1:44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</row>
    <row r="242" spans="1:44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</row>
    <row r="243" spans="1:44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</row>
    <row r="244" spans="1:44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</row>
    <row r="245" spans="1:44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</row>
    <row r="246" spans="1:44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</row>
    <row r="247" spans="1:44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</row>
    <row r="248" spans="1:44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</row>
    <row r="249" spans="1:44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</row>
    <row r="250" spans="1:44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</row>
    <row r="251" spans="1:44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</row>
    <row r="252" spans="1:44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</row>
    <row r="253" spans="1:44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</row>
    <row r="254" spans="1:44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</row>
    <row r="255" spans="1:44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</row>
    <row r="256" spans="1:44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</row>
    <row r="257" spans="1:44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</row>
    <row r="258" spans="1:44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</row>
    <row r="259" spans="1:44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</row>
    <row r="260" spans="1:44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</row>
    <row r="261" spans="1:44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</row>
    <row r="262" spans="1:44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</row>
    <row r="263" spans="1:44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</row>
    <row r="264" spans="1:44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</row>
    <row r="265" spans="1:44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</row>
    <row r="266" spans="1:44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</row>
    <row r="267" spans="1:44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</row>
    <row r="268" spans="1:44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</row>
    <row r="269" spans="1:44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</row>
    <row r="270" spans="1:44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</row>
    <row r="271" spans="1:44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</row>
    <row r="272" spans="1:44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</row>
    <row r="273" spans="1:44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</row>
    <row r="274" spans="1:44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</row>
    <row r="275" spans="1:44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</row>
    <row r="276" spans="1:44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</row>
    <row r="277" spans="1:44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</row>
    <row r="278" spans="1:44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</row>
    <row r="279" spans="1:44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</row>
    <row r="280" spans="1:44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</row>
    <row r="281" spans="1:44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</row>
    <row r="282" spans="1:44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</row>
    <row r="283" spans="1:44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</row>
    <row r="284" spans="1:44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</row>
    <row r="285" spans="1:44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</row>
    <row r="286" spans="1:44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</row>
    <row r="287" spans="1:44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</row>
    <row r="288" spans="1:44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</row>
    <row r="289" spans="1:44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</row>
    <row r="290" spans="1:44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</row>
    <row r="291" spans="1:44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</row>
    <row r="292" spans="1:44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</row>
    <row r="293" spans="1:44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</row>
    <row r="294" spans="1:44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</row>
    <row r="295" spans="1:44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</row>
    <row r="296" spans="1:44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</row>
    <row r="297" spans="1:44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</row>
    <row r="298" spans="1:44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</row>
    <row r="299" spans="1:44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</row>
    <row r="300" spans="1:44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</row>
    <row r="301" spans="1:44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</row>
    <row r="302" spans="1:44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</row>
    <row r="303" spans="1:44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</row>
    <row r="304" spans="1:44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</row>
    <row r="305" spans="1:44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</row>
    <row r="306" spans="1:44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</row>
    <row r="307" spans="1:44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</row>
    <row r="308" spans="1:44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</row>
    <row r="309" spans="1:44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</row>
    <row r="310" spans="1:44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</row>
    <row r="311" spans="1:44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</row>
    <row r="312" spans="1:44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</row>
    <row r="313" spans="1:44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</row>
    <row r="314" spans="1:44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</row>
    <row r="315" spans="1:44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</row>
    <row r="316" spans="1:44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</row>
    <row r="317" spans="1:44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</row>
    <row r="318" spans="1:44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</row>
    <row r="319" spans="1:44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</row>
    <row r="320" spans="1:44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</row>
    <row r="321" spans="1:44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</row>
    <row r="322" spans="1:44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</row>
    <row r="323" spans="1:44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</row>
    <row r="324" spans="1:44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</row>
    <row r="325" spans="1:44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</row>
    <row r="326" spans="1:44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</row>
    <row r="327" spans="1:44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</row>
    <row r="328" spans="1:44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</row>
    <row r="329" spans="1:44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</row>
    <row r="330" spans="1:44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</row>
    <row r="331" spans="1:44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</row>
    <row r="332" spans="1:44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</row>
    <row r="333" spans="1:44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</row>
    <row r="334" spans="1:44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</row>
    <row r="335" spans="1:44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</row>
    <row r="336" spans="1:44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</row>
    <row r="337" spans="1:44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</row>
    <row r="338" spans="1:44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</row>
    <row r="339" spans="1:44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</row>
    <row r="340" spans="1:44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</row>
    <row r="341" spans="1:44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</row>
    <row r="342" spans="1:44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</row>
    <row r="343" spans="1:44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</row>
    <row r="344" spans="1:44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</row>
    <row r="345" spans="1:44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</row>
    <row r="346" spans="1:44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</row>
    <row r="347" spans="1:44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</row>
    <row r="348" spans="1:44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</row>
    <row r="349" spans="1:44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</row>
    <row r="350" spans="1:44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</row>
    <row r="351" spans="1:44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</row>
    <row r="352" spans="1:44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</row>
    <row r="353" spans="1:44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</row>
    <row r="354" spans="1:44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</row>
    <row r="355" spans="1:44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</row>
    <row r="356" spans="1:44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</row>
    <row r="357" spans="1:44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</row>
    <row r="358" spans="1:44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</row>
    <row r="359" spans="1:44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</row>
    <row r="360" spans="1:44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</row>
    <row r="361" spans="1:44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</row>
    <row r="362" spans="1:44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</row>
    <row r="363" spans="1:44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</row>
    <row r="364" spans="1:44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</row>
    <row r="365" spans="1:44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</row>
    <row r="366" spans="1:44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</row>
    <row r="367" spans="1:44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</row>
    <row r="368" spans="1:44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</row>
    <row r="369" spans="1:44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</row>
    <row r="370" spans="1:44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</row>
    <row r="371" spans="1:44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</row>
    <row r="372" spans="1:44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</row>
    <row r="373" spans="1:44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</row>
    <row r="374" spans="1:44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</row>
    <row r="375" spans="1:44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</row>
    <row r="376" spans="1:44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</row>
    <row r="377" spans="1:44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</row>
    <row r="378" spans="1:44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</row>
    <row r="379" spans="1:44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</row>
    <row r="380" spans="1:44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</row>
    <row r="381" spans="1:44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</row>
    <row r="382" spans="1:44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</row>
    <row r="383" spans="1:44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</row>
    <row r="384" spans="1:44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</row>
    <row r="385" spans="1:44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</row>
    <row r="386" spans="1:44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</row>
    <row r="387" spans="1:44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</row>
    <row r="388" spans="1:44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</row>
    <row r="389" spans="1:44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</row>
    <row r="390" spans="1:44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</row>
    <row r="391" spans="1:44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</row>
    <row r="392" spans="1:44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</row>
    <row r="393" spans="1:44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</row>
    <row r="394" spans="1:44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</row>
    <row r="395" spans="1:44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</row>
    <row r="396" spans="1:44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</row>
    <row r="397" spans="1:44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</row>
    <row r="398" spans="1:44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</row>
    <row r="399" spans="1:44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</row>
    <row r="400" spans="1:44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</row>
    <row r="401" spans="1:44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</row>
    <row r="402" spans="1:44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</row>
    <row r="403" spans="1:44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</row>
    <row r="404" spans="1:44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</row>
    <row r="405" spans="1:44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</row>
    <row r="406" spans="1:44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</row>
    <row r="407" spans="1:44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</row>
    <row r="408" spans="1:44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</row>
    <row r="409" spans="1:44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</row>
    <row r="410" spans="1:44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</row>
    <row r="411" spans="1:44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</row>
    <row r="412" spans="1:44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</row>
    <row r="413" spans="1:44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</row>
    <row r="414" spans="1:44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</row>
    <row r="415" spans="1:44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</row>
    <row r="416" spans="1:44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</row>
    <row r="417" spans="1:44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</row>
    <row r="418" spans="1:44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</row>
    <row r="419" spans="1:44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</row>
    <row r="420" spans="1:44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</row>
    <row r="421" spans="1:44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</row>
    <row r="422" spans="1:44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</row>
    <row r="423" spans="1:44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</row>
    <row r="424" spans="1:44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</row>
    <row r="425" spans="1:44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</row>
    <row r="426" spans="1:44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</row>
    <row r="427" spans="1:44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</row>
    <row r="428" spans="1:44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</row>
    <row r="429" spans="1:44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</row>
    <row r="430" spans="1:44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</row>
    <row r="431" spans="1:44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</row>
    <row r="432" spans="1:44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</row>
    <row r="433" spans="1:44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</row>
    <row r="434" spans="1:44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</row>
    <row r="435" spans="1:44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</row>
    <row r="436" spans="1:44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</row>
    <row r="437" spans="1:44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</row>
    <row r="438" spans="1:44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</row>
    <row r="439" spans="1:44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</row>
    <row r="440" spans="1:44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</row>
    <row r="441" spans="1:44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</row>
    <row r="442" spans="1:44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</row>
    <row r="443" spans="1:44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</row>
    <row r="444" spans="1:44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</row>
    <row r="445" spans="1:44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</row>
    <row r="446" spans="1:44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</row>
    <row r="447" spans="1:44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</row>
    <row r="448" spans="1:44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</row>
    <row r="449" spans="1:49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</row>
    <row r="450" spans="1:49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</row>
    <row r="451" spans="1:49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</row>
    <row r="452" spans="1:49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</row>
    <row r="453" spans="1:49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</row>
    <row r="454" spans="1:49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</row>
    <row r="455" spans="1:49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</row>
    <row r="456" spans="1:49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</row>
    <row r="457" spans="1:49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</row>
    <row r="458" spans="1:49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</row>
    <row r="459" spans="1:49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</row>
    <row r="460" spans="1:49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</row>
    <row r="461" spans="1:49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</row>
    <row r="462" spans="1:49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</row>
    <row r="463" spans="1:49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</row>
    <row r="464" spans="1:49" x14ac:dyDescent="0.25">
      <c r="A464" s="10"/>
      <c r="B464" s="10"/>
      <c r="C464" s="10"/>
      <c r="D464" s="10"/>
      <c r="E464" s="10"/>
      <c r="F464" s="10"/>
      <c r="G464" s="9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</row>
    <row r="465" spans="1:49" x14ac:dyDescent="0.25">
      <c r="A465" s="10"/>
      <c r="B465" s="10"/>
      <c r="C465" s="10"/>
      <c r="D465" s="10"/>
      <c r="E465" s="10"/>
      <c r="F465" s="10"/>
      <c r="G465" s="9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</row>
    <row r="466" spans="1:49" x14ac:dyDescent="0.25">
      <c r="A466" s="10"/>
      <c r="B466" s="10"/>
      <c r="C466" s="10"/>
      <c r="D466" s="10"/>
      <c r="E466" s="10"/>
      <c r="F466" s="10"/>
      <c r="G466" s="9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</row>
    <row r="467" spans="1:49" x14ac:dyDescent="0.25">
      <c r="A467" s="10"/>
      <c r="B467" s="10"/>
      <c r="C467" s="10"/>
      <c r="D467" s="10"/>
      <c r="E467" s="10"/>
      <c r="F467" s="10"/>
      <c r="G467" s="9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</row>
    <row r="468" spans="1:49" x14ac:dyDescent="0.25">
      <c r="A468" s="10"/>
      <c r="B468" s="10"/>
      <c r="C468" s="10"/>
      <c r="D468" s="10"/>
      <c r="E468" s="10"/>
      <c r="F468" s="10"/>
      <c r="G468" s="9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</row>
    <row r="469" spans="1:49" x14ac:dyDescent="0.25">
      <c r="A469" s="10"/>
      <c r="B469" s="10"/>
      <c r="C469" s="10"/>
      <c r="D469" s="10"/>
      <c r="E469" s="10"/>
      <c r="F469" s="10"/>
      <c r="G469" s="9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</row>
    <row r="470" spans="1:49" x14ac:dyDescent="0.25">
      <c r="A470" s="10"/>
      <c r="B470" s="10"/>
      <c r="C470" s="10"/>
      <c r="D470" s="10"/>
      <c r="E470" s="10"/>
      <c r="F470" s="10"/>
      <c r="G470" s="9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</row>
    <row r="471" spans="1:49" x14ac:dyDescent="0.25">
      <c r="A471" s="10"/>
      <c r="B471" s="10"/>
      <c r="C471" s="10"/>
      <c r="D471" s="10"/>
      <c r="E471" s="10"/>
      <c r="F471" s="10"/>
      <c r="G471" s="9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</row>
    <row r="472" spans="1:49" x14ac:dyDescent="0.25">
      <c r="A472" s="10"/>
      <c r="B472" s="10"/>
      <c r="C472" s="10"/>
      <c r="D472" s="10"/>
      <c r="E472" s="10"/>
      <c r="F472" s="10"/>
      <c r="G472" s="9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</row>
    <row r="473" spans="1:49" x14ac:dyDescent="0.25">
      <c r="A473" s="10"/>
      <c r="B473" s="10"/>
      <c r="C473" s="10"/>
      <c r="D473" s="10"/>
      <c r="E473" s="10"/>
      <c r="F473" s="10"/>
      <c r="G473" s="9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</row>
    <row r="474" spans="1:49" x14ac:dyDescent="0.25">
      <c r="A474" s="10"/>
      <c r="B474" s="10"/>
      <c r="C474" s="10"/>
      <c r="D474" s="10"/>
      <c r="E474" s="10"/>
      <c r="F474" s="10"/>
      <c r="G474" s="9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</row>
    <row r="475" spans="1:49" x14ac:dyDescent="0.25">
      <c r="A475" s="10"/>
      <c r="B475" s="10"/>
      <c r="C475" s="10"/>
      <c r="D475" s="10"/>
      <c r="E475" s="10"/>
      <c r="F475" s="10"/>
      <c r="G475" s="9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</row>
    <row r="476" spans="1:49" x14ac:dyDescent="0.25">
      <c r="A476" s="10"/>
      <c r="B476" s="10"/>
      <c r="C476" s="10"/>
      <c r="D476" s="10"/>
      <c r="E476" s="10"/>
      <c r="F476" s="10"/>
      <c r="G476" s="9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</row>
    <row r="477" spans="1:49" x14ac:dyDescent="0.25">
      <c r="A477" s="10"/>
      <c r="B477" s="10"/>
      <c r="C477" s="10"/>
      <c r="D477" s="10"/>
      <c r="E477" s="10"/>
      <c r="F477" s="10"/>
      <c r="G477" s="9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</row>
    <row r="478" spans="1:49" x14ac:dyDescent="0.25">
      <c r="A478" s="10"/>
      <c r="B478" s="10"/>
      <c r="C478" s="10"/>
      <c r="D478" s="10"/>
      <c r="E478" s="10"/>
      <c r="F478" s="10"/>
      <c r="G478" s="9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</row>
    <row r="479" spans="1:49" x14ac:dyDescent="0.25">
      <c r="A479" s="10"/>
      <c r="B479" s="10"/>
      <c r="C479" s="10"/>
      <c r="D479" s="10"/>
      <c r="E479" s="10"/>
      <c r="F479" s="10"/>
      <c r="G479" s="9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</row>
    <row r="480" spans="1:49" x14ac:dyDescent="0.25">
      <c r="A480" s="10"/>
      <c r="B480" s="10"/>
      <c r="C480" s="10"/>
      <c r="D480" s="10"/>
      <c r="E480" s="10"/>
      <c r="F480" s="10"/>
      <c r="G480" s="9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</row>
    <row r="481" spans="1:49" x14ac:dyDescent="0.25">
      <c r="A481" s="10"/>
      <c r="B481" s="10"/>
      <c r="C481" s="10"/>
      <c r="D481" s="10"/>
      <c r="E481" s="10"/>
      <c r="F481" s="10"/>
      <c r="G481" s="9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</row>
    <row r="482" spans="1:49" x14ac:dyDescent="0.25">
      <c r="A482" s="10"/>
      <c r="B482" s="10"/>
      <c r="C482" s="10"/>
      <c r="D482" s="10"/>
      <c r="E482" s="10"/>
      <c r="F482" s="10"/>
      <c r="G482" s="9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</row>
    <row r="483" spans="1:49" x14ac:dyDescent="0.25">
      <c r="A483" s="10"/>
      <c r="B483" s="10"/>
      <c r="C483" s="10"/>
      <c r="D483" s="10"/>
      <c r="E483" s="10"/>
      <c r="F483" s="10"/>
      <c r="G483" s="9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</row>
    <row r="484" spans="1:49" x14ac:dyDescent="0.25">
      <c r="A484" s="10"/>
      <c r="B484" s="10"/>
      <c r="C484" s="10"/>
      <c r="D484" s="10"/>
      <c r="E484" s="10"/>
      <c r="F484" s="10"/>
      <c r="G484" s="9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</row>
    <row r="485" spans="1:49" x14ac:dyDescent="0.25">
      <c r="A485" s="10"/>
      <c r="B485" s="10"/>
      <c r="C485" s="10"/>
      <c r="D485" s="10"/>
      <c r="E485" s="10"/>
      <c r="F485" s="10"/>
      <c r="G485" s="9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</row>
    <row r="486" spans="1:49" x14ac:dyDescent="0.25">
      <c r="A486" s="10"/>
      <c r="B486" s="10"/>
      <c r="C486" s="10"/>
      <c r="D486" s="10"/>
      <c r="E486" s="10"/>
      <c r="F486" s="10"/>
      <c r="G486" s="9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</row>
    <row r="487" spans="1:49" x14ac:dyDescent="0.25">
      <c r="A487" s="10"/>
      <c r="B487" s="10"/>
      <c r="C487" s="10"/>
      <c r="D487" s="10"/>
      <c r="E487" s="10"/>
      <c r="F487" s="10"/>
      <c r="G487" s="9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</row>
    <row r="488" spans="1:49" x14ac:dyDescent="0.25">
      <c r="A488" s="10"/>
      <c r="B488" s="10"/>
      <c r="C488" s="10"/>
      <c r="D488" s="10"/>
      <c r="E488" s="10"/>
      <c r="F488" s="10"/>
      <c r="G488" s="9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</row>
    <row r="489" spans="1:49" x14ac:dyDescent="0.25">
      <c r="A489" s="10"/>
      <c r="B489" s="10"/>
      <c r="C489" s="10"/>
      <c r="D489" s="10"/>
      <c r="E489" s="10"/>
      <c r="F489" s="10"/>
      <c r="G489" s="9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</row>
    <row r="490" spans="1:49" x14ac:dyDescent="0.25">
      <c r="A490" s="10"/>
      <c r="B490" s="10"/>
      <c r="C490" s="10"/>
      <c r="D490" s="10"/>
      <c r="E490" s="10"/>
      <c r="F490" s="10"/>
      <c r="G490" s="9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</row>
    <row r="491" spans="1:49" x14ac:dyDescent="0.25">
      <c r="A491" s="10"/>
      <c r="B491" s="10"/>
      <c r="C491" s="10"/>
      <c r="D491" s="10"/>
      <c r="E491" s="10"/>
      <c r="F491" s="10"/>
      <c r="G491" s="9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</row>
    <row r="492" spans="1:49" x14ac:dyDescent="0.25">
      <c r="A492" s="10"/>
      <c r="B492" s="10"/>
      <c r="C492" s="10"/>
      <c r="D492" s="10"/>
      <c r="E492" s="10"/>
      <c r="F492" s="10"/>
      <c r="G492" s="9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</row>
    <row r="493" spans="1:49" x14ac:dyDescent="0.25">
      <c r="A493" s="10"/>
      <c r="B493" s="10"/>
      <c r="C493" s="10"/>
      <c r="D493" s="10"/>
      <c r="E493" s="10"/>
      <c r="F493" s="10"/>
      <c r="G493" s="9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</row>
    <row r="494" spans="1:49" x14ac:dyDescent="0.25">
      <c r="A494" s="10"/>
      <c r="B494" s="10"/>
      <c r="C494" s="10"/>
      <c r="D494" s="10"/>
      <c r="E494" s="10"/>
      <c r="F494" s="10"/>
      <c r="G494" s="9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</row>
    <row r="495" spans="1:49" x14ac:dyDescent="0.25">
      <c r="A495" s="10"/>
      <c r="B495" s="10"/>
      <c r="C495" s="10"/>
      <c r="D495" s="10"/>
      <c r="E495" s="10"/>
      <c r="F495" s="10"/>
      <c r="G495" s="9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</row>
    <row r="496" spans="1:49" x14ac:dyDescent="0.25">
      <c r="A496" s="10"/>
      <c r="B496" s="10"/>
      <c r="C496" s="10"/>
      <c r="D496" s="10"/>
      <c r="E496" s="10"/>
      <c r="F496" s="10"/>
      <c r="G496" s="9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</row>
    <row r="497" spans="1:49" x14ac:dyDescent="0.25">
      <c r="A497" s="10"/>
      <c r="B497" s="10"/>
      <c r="C497" s="10"/>
      <c r="D497" s="10"/>
      <c r="E497" s="10"/>
      <c r="F497" s="10"/>
      <c r="G497" s="9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</row>
    <row r="498" spans="1:49" x14ac:dyDescent="0.25">
      <c r="A498" s="10"/>
      <c r="B498" s="10"/>
      <c r="C498" s="10"/>
      <c r="D498" s="10"/>
      <c r="E498" s="10"/>
      <c r="F498" s="10"/>
      <c r="G498" s="9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</row>
    <row r="499" spans="1:49" x14ac:dyDescent="0.25">
      <c r="A499" s="10"/>
      <c r="B499" s="10"/>
      <c r="C499" s="10"/>
      <c r="D499" s="10"/>
      <c r="E499" s="10"/>
      <c r="F499" s="10"/>
      <c r="G499" s="9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</row>
    <row r="500" spans="1:49" x14ac:dyDescent="0.25">
      <c r="A500" s="10"/>
      <c r="B500" s="10"/>
      <c r="C500" s="10"/>
      <c r="D500" s="10"/>
      <c r="E500" s="10"/>
      <c r="F500" s="10"/>
      <c r="G500" s="9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</row>
    <row r="501" spans="1:49" x14ac:dyDescent="0.25">
      <c r="A501" s="10"/>
      <c r="B501" s="10"/>
      <c r="C501" s="10"/>
      <c r="D501" s="10"/>
      <c r="E501" s="10"/>
      <c r="F501" s="10"/>
      <c r="G501" s="9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</row>
    <row r="502" spans="1:49" x14ac:dyDescent="0.25">
      <c r="A502" s="10"/>
      <c r="B502" s="10"/>
      <c r="C502" s="10"/>
      <c r="D502" s="10"/>
      <c r="E502" s="10"/>
      <c r="F502" s="10"/>
      <c r="G502" s="9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</row>
    <row r="503" spans="1:49" x14ac:dyDescent="0.25">
      <c r="A503" s="10"/>
      <c r="B503" s="10"/>
      <c r="C503" s="10"/>
      <c r="D503" s="10"/>
      <c r="E503" s="10"/>
      <c r="F503" s="10"/>
      <c r="G503" s="9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</row>
    <row r="504" spans="1:49" x14ac:dyDescent="0.25">
      <c r="A504" s="10"/>
      <c r="B504" s="10"/>
      <c r="C504" s="10"/>
      <c r="D504" s="10"/>
      <c r="E504" s="10"/>
      <c r="F504" s="10"/>
      <c r="G504" s="9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</row>
    <row r="505" spans="1:49" x14ac:dyDescent="0.25">
      <c r="A505" s="10"/>
      <c r="B505" s="10"/>
      <c r="C505" s="10"/>
      <c r="D505" s="10"/>
      <c r="E505" s="10"/>
      <c r="F505" s="10"/>
      <c r="G505" s="9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</row>
    <row r="506" spans="1:49" x14ac:dyDescent="0.25">
      <c r="A506" s="10"/>
      <c r="B506" s="10"/>
      <c r="C506" s="10"/>
      <c r="D506" s="10"/>
      <c r="E506" s="10"/>
      <c r="F506" s="10"/>
      <c r="G506" s="9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</row>
    <row r="507" spans="1:49" x14ac:dyDescent="0.25">
      <c r="A507" s="10"/>
      <c r="B507" s="10"/>
      <c r="C507" s="10"/>
      <c r="D507" s="10"/>
      <c r="E507" s="10"/>
      <c r="F507" s="10"/>
      <c r="G507" s="9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</row>
    <row r="508" spans="1:49" x14ac:dyDescent="0.25">
      <c r="A508" s="10"/>
      <c r="B508" s="10"/>
      <c r="C508" s="10"/>
      <c r="D508" s="10"/>
      <c r="E508" s="10"/>
      <c r="F508" s="10"/>
      <c r="G508" s="9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</row>
    <row r="509" spans="1:49" x14ac:dyDescent="0.25">
      <c r="A509" s="10"/>
      <c r="B509" s="10"/>
      <c r="C509" s="10"/>
      <c r="D509" s="10"/>
      <c r="E509" s="10"/>
      <c r="F509" s="10"/>
      <c r="G509" s="9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</row>
    <row r="510" spans="1:49" x14ac:dyDescent="0.25">
      <c r="A510" s="10"/>
      <c r="B510" s="10"/>
      <c r="C510" s="10"/>
      <c r="D510" s="10"/>
      <c r="E510" s="10"/>
      <c r="F510" s="10"/>
      <c r="G510" s="9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</row>
    <row r="511" spans="1:49" x14ac:dyDescent="0.25">
      <c r="A511" s="10"/>
      <c r="B511" s="10"/>
      <c r="C511" s="10"/>
      <c r="D511" s="10"/>
      <c r="E511" s="10"/>
      <c r="F511" s="10"/>
      <c r="G511" s="9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</row>
    <row r="512" spans="1:49" x14ac:dyDescent="0.25">
      <c r="A512" s="10"/>
      <c r="B512" s="10"/>
      <c r="C512" s="10"/>
      <c r="D512" s="10"/>
      <c r="E512" s="10"/>
      <c r="F512" s="10"/>
      <c r="G512" s="9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</row>
    <row r="513" spans="1:49" x14ac:dyDescent="0.25">
      <c r="A513" s="10"/>
      <c r="B513" s="10"/>
      <c r="C513" s="10"/>
      <c r="D513" s="10"/>
      <c r="E513" s="10"/>
      <c r="F513" s="10"/>
      <c r="G513" s="9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</row>
    <row r="514" spans="1:49" x14ac:dyDescent="0.25">
      <c r="A514" s="10"/>
      <c r="B514" s="10"/>
      <c r="C514" s="10"/>
      <c r="D514" s="10"/>
      <c r="E514" s="10"/>
      <c r="F514" s="10"/>
      <c r="G514" s="9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</row>
    <row r="515" spans="1:49" x14ac:dyDescent="0.25">
      <c r="A515" s="10"/>
      <c r="B515" s="10"/>
      <c r="C515" s="10"/>
      <c r="D515" s="10"/>
      <c r="E515" s="10"/>
      <c r="F515" s="10"/>
      <c r="G515" s="9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</row>
    <row r="516" spans="1:49" x14ac:dyDescent="0.25">
      <c r="A516" s="10"/>
      <c r="B516" s="10"/>
      <c r="C516" s="10"/>
      <c r="D516" s="10"/>
      <c r="E516" s="10"/>
      <c r="F516" s="10"/>
      <c r="G516" s="9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</row>
    <row r="517" spans="1:49" x14ac:dyDescent="0.25">
      <c r="A517" s="10"/>
      <c r="B517" s="10"/>
      <c r="C517" s="10"/>
      <c r="D517" s="10"/>
      <c r="E517" s="10"/>
      <c r="F517" s="10"/>
      <c r="G517" s="9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</row>
    <row r="518" spans="1:49" x14ac:dyDescent="0.25">
      <c r="A518" s="10"/>
      <c r="B518" s="10"/>
      <c r="C518" s="10"/>
      <c r="D518" s="10"/>
      <c r="E518" s="10"/>
      <c r="F518" s="10"/>
      <c r="G518" s="9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</row>
    <row r="519" spans="1:49" x14ac:dyDescent="0.25">
      <c r="A519" s="10"/>
      <c r="B519" s="10"/>
      <c r="C519" s="10"/>
      <c r="D519" s="10"/>
      <c r="E519" s="10"/>
      <c r="F519" s="10"/>
      <c r="G519" s="9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</row>
    <row r="520" spans="1:49" x14ac:dyDescent="0.25">
      <c r="A520" s="10"/>
      <c r="B520" s="10"/>
      <c r="C520" s="10"/>
      <c r="D520" s="10"/>
      <c r="E520" s="10"/>
      <c r="F520" s="10"/>
      <c r="G520" s="9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</row>
    <row r="521" spans="1:49" x14ac:dyDescent="0.25">
      <c r="A521" s="10"/>
      <c r="B521" s="10"/>
      <c r="C521" s="10"/>
      <c r="D521" s="10"/>
      <c r="E521" s="10"/>
      <c r="F521" s="10"/>
      <c r="G521" s="9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</row>
    <row r="522" spans="1:49" x14ac:dyDescent="0.25">
      <c r="A522" s="10"/>
      <c r="B522" s="10"/>
      <c r="C522" s="10"/>
      <c r="D522" s="10"/>
      <c r="E522" s="10"/>
      <c r="F522" s="10"/>
      <c r="G522" s="9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</row>
    <row r="523" spans="1:49" x14ac:dyDescent="0.25">
      <c r="A523" s="10"/>
      <c r="B523" s="10"/>
      <c r="C523" s="10"/>
      <c r="D523" s="10"/>
      <c r="E523" s="10"/>
      <c r="F523" s="10"/>
      <c r="G523" s="9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</row>
    <row r="524" spans="1:49" x14ac:dyDescent="0.25">
      <c r="A524" s="10"/>
      <c r="B524" s="10"/>
      <c r="C524" s="10"/>
      <c r="D524" s="10"/>
      <c r="E524" s="10"/>
      <c r="F524" s="10"/>
      <c r="G524" s="9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</row>
    <row r="525" spans="1:49" x14ac:dyDescent="0.25">
      <c r="A525" s="10"/>
      <c r="B525" s="10"/>
      <c r="C525" s="10"/>
      <c r="D525" s="10"/>
      <c r="E525" s="10"/>
      <c r="F525" s="10"/>
      <c r="G525" s="9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</row>
    <row r="526" spans="1:49" x14ac:dyDescent="0.25">
      <c r="A526" s="10"/>
      <c r="B526" s="10"/>
      <c r="C526" s="10"/>
      <c r="D526" s="10"/>
      <c r="E526" s="10"/>
      <c r="F526" s="10"/>
      <c r="G526" s="9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</row>
    <row r="527" spans="1:49" x14ac:dyDescent="0.25">
      <c r="A527" s="10"/>
      <c r="B527" s="10"/>
      <c r="C527" s="10"/>
      <c r="D527" s="10"/>
      <c r="E527" s="10"/>
      <c r="F527" s="10"/>
      <c r="G527" s="9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</row>
    <row r="528" spans="1:49" x14ac:dyDescent="0.25">
      <c r="A528" s="10"/>
      <c r="B528" s="10"/>
      <c r="C528" s="10"/>
      <c r="D528" s="10"/>
      <c r="E528" s="10"/>
      <c r="F528" s="10"/>
      <c r="G528" s="9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</row>
    <row r="529" spans="1:49" x14ac:dyDescent="0.25">
      <c r="A529" s="10"/>
      <c r="B529" s="10"/>
      <c r="C529" s="10"/>
      <c r="D529" s="10"/>
      <c r="E529" s="10"/>
      <c r="F529" s="10"/>
      <c r="G529" s="9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</row>
    <row r="530" spans="1:49" x14ac:dyDescent="0.25">
      <c r="A530" s="10"/>
      <c r="B530" s="10"/>
      <c r="C530" s="10"/>
      <c r="D530" s="10"/>
      <c r="E530" s="10"/>
      <c r="F530" s="10"/>
      <c r="G530" s="9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</row>
    <row r="531" spans="1:49" x14ac:dyDescent="0.25">
      <c r="A531" s="10"/>
      <c r="B531" s="10"/>
      <c r="C531" s="10"/>
      <c r="D531" s="10"/>
      <c r="E531" s="10"/>
      <c r="F531" s="10"/>
      <c r="G531" s="9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</row>
    <row r="532" spans="1:49" x14ac:dyDescent="0.25">
      <c r="A532" s="10"/>
      <c r="B532" s="10"/>
      <c r="C532" s="10"/>
      <c r="D532" s="10"/>
      <c r="E532" s="10"/>
      <c r="F532" s="10"/>
      <c r="G532" s="9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</row>
    <row r="533" spans="1:49" x14ac:dyDescent="0.25">
      <c r="A533" s="10"/>
      <c r="B533" s="10"/>
      <c r="C533" s="10"/>
      <c r="D533" s="10"/>
      <c r="E533" s="10"/>
      <c r="F533" s="10"/>
      <c r="G533" s="9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</row>
    <row r="534" spans="1:49" x14ac:dyDescent="0.25">
      <c r="A534" s="10"/>
      <c r="B534" s="10"/>
      <c r="C534" s="10"/>
      <c r="D534" s="10"/>
      <c r="E534" s="10"/>
      <c r="F534" s="10"/>
      <c r="G534" s="9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</row>
    <row r="535" spans="1:49" x14ac:dyDescent="0.25">
      <c r="A535" s="10"/>
      <c r="B535" s="10"/>
      <c r="C535" s="10"/>
      <c r="D535" s="10"/>
      <c r="E535" s="10"/>
      <c r="F535" s="10"/>
      <c r="G535" s="9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</row>
    <row r="536" spans="1:49" x14ac:dyDescent="0.25">
      <c r="A536" s="10"/>
      <c r="B536" s="10"/>
      <c r="C536" s="10"/>
      <c r="D536" s="10"/>
      <c r="E536" s="10"/>
      <c r="F536" s="10"/>
      <c r="G536" s="9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</row>
    <row r="537" spans="1:49" x14ac:dyDescent="0.25">
      <c r="A537" s="10"/>
      <c r="B537" s="10"/>
      <c r="C537" s="10"/>
      <c r="D537" s="10"/>
      <c r="E537" s="10"/>
      <c r="F537" s="10"/>
      <c r="G537" s="9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</row>
    <row r="538" spans="1:49" x14ac:dyDescent="0.25">
      <c r="A538" s="10"/>
      <c r="B538" s="10"/>
      <c r="C538" s="10"/>
      <c r="D538" s="10"/>
      <c r="E538" s="10"/>
      <c r="F538" s="10"/>
      <c r="G538" s="9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</row>
    <row r="539" spans="1:49" x14ac:dyDescent="0.25">
      <c r="A539" s="10"/>
      <c r="B539" s="10"/>
      <c r="C539" s="10"/>
      <c r="D539" s="10"/>
      <c r="E539" s="10"/>
      <c r="F539" s="10"/>
      <c r="G539" s="9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</row>
    <row r="540" spans="1:49" x14ac:dyDescent="0.25">
      <c r="A540" s="10"/>
      <c r="B540" s="10"/>
      <c r="C540" s="10"/>
      <c r="D540" s="10"/>
      <c r="E540" s="10"/>
      <c r="F540" s="10"/>
      <c r="G540" s="9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</row>
    <row r="541" spans="1:49" x14ac:dyDescent="0.25">
      <c r="A541" s="10"/>
      <c r="B541" s="10"/>
      <c r="C541" s="10"/>
      <c r="D541" s="10"/>
      <c r="E541" s="10"/>
      <c r="F541" s="10"/>
      <c r="G541" s="9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</row>
    <row r="542" spans="1:49" x14ac:dyDescent="0.25">
      <c r="A542" s="10"/>
      <c r="B542" s="10"/>
      <c r="C542" s="10"/>
      <c r="D542" s="10"/>
      <c r="E542" s="10"/>
      <c r="F542" s="10"/>
      <c r="G542" s="9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</row>
    <row r="543" spans="1:49" x14ac:dyDescent="0.25">
      <c r="A543" s="10"/>
      <c r="B543" s="10"/>
      <c r="C543" s="10"/>
      <c r="D543" s="10"/>
      <c r="E543" s="10"/>
      <c r="F543" s="10"/>
      <c r="G543" s="9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</row>
    <row r="544" spans="1:49" x14ac:dyDescent="0.25">
      <c r="A544" s="10"/>
      <c r="B544" s="10"/>
      <c r="C544" s="10"/>
      <c r="D544" s="10"/>
      <c r="E544" s="10"/>
      <c r="F544" s="10"/>
      <c r="G544" s="9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</row>
    <row r="545" spans="1:49" x14ac:dyDescent="0.25">
      <c r="A545" s="10"/>
      <c r="B545" s="10"/>
      <c r="C545" s="10"/>
      <c r="D545" s="10"/>
      <c r="E545" s="10"/>
      <c r="F545" s="10"/>
      <c r="G545" s="9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</row>
    <row r="546" spans="1:49" x14ac:dyDescent="0.25">
      <c r="A546" s="10"/>
      <c r="B546" s="10"/>
      <c r="C546" s="10"/>
      <c r="D546" s="10"/>
      <c r="E546" s="10"/>
      <c r="F546" s="10"/>
      <c r="G546" s="9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</row>
    <row r="547" spans="1:49" x14ac:dyDescent="0.25">
      <c r="A547" s="10"/>
      <c r="B547" s="10"/>
      <c r="C547" s="10"/>
      <c r="D547" s="10"/>
      <c r="E547" s="10"/>
      <c r="F547" s="10"/>
      <c r="G547" s="9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</row>
    <row r="548" spans="1:49" x14ac:dyDescent="0.25">
      <c r="A548" s="10"/>
      <c r="B548" s="10"/>
      <c r="C548" s="10"/>
      <c r="D548" s="10"/>
      <c r="E548" s="10"/>
      <c r="F548" s="10"/>
      <c r="G548" s="9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</row>
    <row r="549" spans="1:49" x14ac:dyDescent="0.25">
      <c r="A549" s="10"/>
      <c r="B549" s="10"/>
      <c r="C549" s="10"/>
      <c r="D549" s="10"/>
      <c r="E549" s="10"/>
      <c r="F549" s="10"/>
      <c r="G549" s="9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</row>
    <row r="550" spans="1:49" x14ac:dyDescent="0.25">
      <c r="A550" s="10"/>
      <c r="B550" s="10"/>
      <c r="C550" s="10"/>
      <c r="D550" s="10"/>
      <c r="E550" s="10"/>
      <c r="F550" s="10"/>
      <c r="G550" s="9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</row>
    <row r="551" spans="1:49" x14ac:dyDescent="0.25">
      <c r="A551" s="10"/>
      <c r="B551" s="10"/>
      <c r="C551" s="10"/>
      <c r="D551" s="10"/>
      <c r="E551" s="10"/>
      <c r="F551" s="10"/>
      <c r="G551" s="9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</row>
    <row r="552" spans="1:49" x14ac:dyDescent="0.25">
      <c r="A552" s="10"/>
      <c r="B552" s="10"/>
      <c r="C552" s="10"/>
      <c r="D552" s="10"/>
      <c r="E552" s="10"/>
      <c r="F552" s="10"/>
      <c r="G552" s="9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</row>
    <row r="553" spans="1:49" x14ac:dyDescent="0.25">
      <c r="A553" s="10"/>
      <c r="B553" s="10"/>
      <c r="C553" s="10"/>
      <c r="D553" s="10"/>
      <c r="E553" s="10"/>
      <c r="F553" s="10"/>
      <c r="G553" s="9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</row>
    <row r="554" spans="1:49" x14ac:dyDescent="0.25">
      <c r="A554" s="10"/>
      <c r="B554" s="10"/>
      <c r="C554" s="10"/>
      <c r="D554" s="10"/>
      <c r="E554" s="10"/>
      <c r="F554" s="10"/>
      <c r="G554" s="9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</row>
    <row r="555" spans="1:49" x14ac:dyDescent="0.25">
      <c r="A555" s="10"/>
      <c r="B555" s="10"/>
      <c r="C555" s="10"/>
      <c r="D555" s="10"/>
      <c r="E555" s="10"/>
      <c r="F555" s="10"/>
      <c r="G555" s="9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</row>
    <row r="556" spans="1:49" x14ac:dyDescent="0.25">
      <c r="A556" s="10"/>
      <c r="B556" s="10"/>
      <c r="C556" s="10"/>
      <c r="D556" s="10"/>
      <c r="E556" s="10"/>
      <c r="F556" s="10"/>
      <c r="G556" s="9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</row>
    <row r="557" spans="1:49" x14ac:dyDescent="0.25">
      <c r="A557" s="10"/>
      <c r="B557" s="10"/>
      <c r="C557" s="10"/>
      <c r="D557" s="10"/>
      <c r="E557" s="10"/>
      <c r="F557" s="10"/>
      <c r="G557" s="9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</row>
    <row r="558" spans="1:49" x14ac:dyDescent="0.25">
      <c r="A558" s="10"/>
      <c r="B558" s="10"/>
      <c r="C558" s="10"/>
      <c r="D558" s="10"/>
      <c r="E558" s="10"/>
      <c r="F558" s="10"/>
      <c r="G558" s="9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</row>
    <row r="559" spans="1:49" x14ac:dyDescent="0.25">
      <c r="A559" s="10"/>
      <c r="B559" s="10"/>
      <c r="C559" s="10"/>
      <c r="D559" s="10"/>
      <c r="E559" s="10"/>
      <c r="F559" s="10"/>
      <c r="G559" s="9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</row>
    <row r="560" spans="1:49" x14ac:dyDescent="0.25">
      <c r="A560" s="10"/>
      <c r="B560" s="10"/>
      <c r="C560" s="10"/>
      <c r="D560" s="10"/>
      <c r="E560" s="10"/>
      <c r="F560" s="10"/>
      <c r="G560" s="9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</row>
    <row r="561" spans="1:49" x14ac:dyDescent="0.25">
      <c r="A561" s="10"/>
      <c r="B561" s="10"/>
      <c r="C561" s="10"/>
      <c r="D561" s="10"/>
      <c r="E561" s="10"/>
      <c r="F561" s="10"/>
      <c r="G561" s="9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</row>
    <row r="562" spans="1:49" x14ac:dyDescent="0.25">
      <c r="A562" s="10"/>
      <c r="B562" s="10"/>
      <c r="C562" s="10"/>
      <c r="D562" s="10"/>
      <c r="E562" s="10"/>
      <c r="F562" s="10"/>
      <c r="G562" s="9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</row>
    <row r="563" spans="1:49" x14ac:dyDescent="0.25">
      <c r="A563" s="10"/>
      <c r="B563" s="10"/>
      <c r="C563" s="10"/>
      <c r="D563" s="10"/>
      <c r="E563" s="10"/>
      <c r="F563" s="10"/>
      <c r="G563" s="9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</row>
    <row r="564" spans="1:49" x14ac:dyDescent="0.25">
      <c r="A564" s="10"/>
      <c r="B564" s="10"/>
      <c r="C564" s="10"/>
      <c r="D564" s="10"/>
      <c r="E564" s="10"/>
      <c r="F564" s="10"/>
      <c r="G564" s="9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</row>
    <row r="565" spans="1:49" x14ac:dyDescent="0.25">
      <c r="A565" s="10"/>
      <c r="B565" s="10"/>
      <c r="C565" s="10"/>
      <c r="D565" s="10"/>
      <c r="E565" s="10"/>
      <c r="F565" s="10"/>
      <c r="G565" s="9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</row>
    <row r="566" spans="1:49" x14ac:dyDescent="0.25">
      <c r="A566" s="10"/>
      <c r="B566" s="10"/>
      <c r="C566" s="10"/>
      <c r="D566" s="10"/>
      <c r="E566" s="10"/>
      <c r="F566" s="10"/>
      <c r="G566" s="9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</row>
    <row r="567" spans="1:49" x14ac:dyDescent="0.25">
      <c r="A567" s="10"/>
      <c r="B567" s="10"/>
      <c r="C567" s="10"/>
      <c r="D567" s="10"/>
      <c r="E567" s="10"/>
      <c r="F567" s="10"/>
      <c r="G567" s="9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</row>
    <row r="568" spans="1:49" x14ac:dyDescent="0.25">
      <c r="A568" s="10"/>
      <c r="B568" s="10"/>
      <c r="C568" s="10"/>
      <c r="D568" s="10"/>
      <c r="E568" s="10"/>
      <c r="F568" s="10"/>
      <c r="G568" s="9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</row>
    <row r="569" spans="1:49" x14ac:dyDescent="0.25">
      <c r="A569" s="10"/>
      <c r="B569" s="10"/>
      <c r="C569" s="10"/>
      <c r="D569" s="10"/>
      <c r="E569" s="10"/>
      <c r="F569" s="10"/>
      <c r="G569" s="9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</row>
    <row r="570" spans="1:49" x14ac:dyDescent="0.25">
      <c r="A570" s="10"/>
      <c r="B570" s="10"/>
      <c r="C570" s="10"/>
      <c r="D570" s="10"/>
      <c r="E570" s="10"/>
      <c r="F570" s="10"/>
      <c r="G570" s="9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</row>
    <row r="571" spans="1:49" x14ac:dyDescent="0.25">
      <c r="A571" s="10"/>
      <c r="B571" s="10"/>
      <c r="C571" s="10"/>
      <c r="D571" s="10"/>
      <c r="E571" s="10"/>
      <c r="F571" s="10"/>
      <c r="G571" s="9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</row>
    <row r="572" spans="1:49" x14ac:dyDescent="0.25">
      <c r="A572" s="10"/>
      <c r="B572" s="10"/>
      <c r="C572" s="10"/>
      <c r="D572" s="10"/>
      <c r="E572" s="10"/>
      <c r="F572" s="10"/>
      <c r="G572" s="9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</row>
    <row r="573" spans="1:49" x14ac:dyDescent="0.25">
      <c r="A573" s="10"/>
      <c r="B573" s="10"/>
      <c r="C573" s="10"/>
      <c r="D573" s="10"/>
      <c r="E573" s="10"/>
      <c r="F573" s="10"/>
      <c r="G573" s="9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</row>
    <row r="574" spans="1:49" x14ac:dyDescent="0.25">
      <c r="A574" s="10"/>
      <c r="B574" s="10"/>
      <c r="C574" s="10"/>
      <c r="D574" s="10"/>
      <c r="E574" s="10"/>
      <c r="F574" s="10"/>
      <c r="G574" s="9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</row>
    <row r="575" spans="1:49" x14ac:dyDescent="0.25">
      <c r="A575" s="10"/>
      <c r="B575" s="10"/>
      <c r="C575" s="10"/>
      <c r="D575" s="10"/>
      <c r="E575" s="10"/>
      <c r="F575" s="10"/>
      <c r="G575" s="9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</row>
    <row r="576" spans="1:49" x14ac:dyDescent="0.25">
      <c r="A576" s="10"/>
      <c r="B576" s="10"/>
      <c r="C576" s="10"/>
      <c r="D576" s="10"/>
      <c r="E576" s="10"/>
      <c r="F576" s="10"/>
      <c r="G576" s="9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</row>
    <row r="577" spans="1:49" x14ac:dyDescent="0.25">
      <c r="A577" s="10"/>
      <c r="B577" s="10"/>
      <c r="C577" s="10"/>
      <c r="D577" s="10"/>
      <c r="E577" s="10"/>
      <c r="F577" s="10"/>
      <c r="G577" s="9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</row>
    <row r="578" spans="1:49" x14ac:dyDescent="0.25">
      <c r="A578" s="10"/>
      <c r="B578" s="10"/>
      <c r="C578" s="10"/>
      <c r="D578" s="10"/>
      <c r="E578" s="10"/>
      <c r="F578" s="10"/>
      <c r="G578" s="9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</row>
    <row r="579" spans="1:49" x14ac:dyDescent="0.25">
      <c r="A579" s="10"/>
      <c r="B579" s="10"/>
      <c r="C579" s="10"/>
      <c r="D579" s="10"/>
      <c r="E579" s="10"/>
      <c r="F579" s="10"/>
      <c r="G579" s="9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</row>
    <row r="580" spans="1:49" x14ac:dyDescent="0.25">
      <c r="A580" s="10"/>
      <c r="B580" s="10"/>
      <c r="C580" s="10"/>
      <c r="D580" s="10"/>
      <c r="E580" s="10"/>
      <c r="F580" s="10"/>
      <c r="G580" s="9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</row>
    <row r="581" spans="1:49" x14ac:dyDescent="0.25">
      <c r="A581" s="10"/>
      <c r="B581" s="10"/>
      <c r="C581" s="10"/>
      <c r="D581" s="10"/>
      <c r="E581" s="10"/>
      <c r="F581" s="10"/>
      <c r="G581" s="9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</row>
    <row r="582" spans="1:49" x14ac:dyDescent="0.25">
      <c r="A582" s="10"/>
      <c r="B582" s="10"/>
      <c r="C582" s="10"/>
      <c r="D582" s="10"/>
      <c r="E582" s="10"/>
      <c r="F582" s="10"/>
      <c r="G582" s="9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</row>
    <row r="583" spans="1:49" x14ac:dyDescent="0.25">
      <c r="A583" s="10"/>
      <c r="B583" s="10"/>
      <c r="C583" s="10"/>
      <c r="D583" s="10"/>
      <c r="E583" s="10"/>
      <c r="F583" s="10"/>
      <c r="G583" s="9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</row>
    <row r="584" spans="1:49" x14ac:dyDescent="0.25">
      <c r="A584" s="10"/>
      <c r="B584" s="10"/>
      <c r="C584" s="10"/>
      <c r="D584" s="10"/>
      <c r="E584" s="10"/>
      <c r="F584" s="10"/>
      <c r="G584" s="9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</row>
    <row r="585" spans="1:49" x14ac:dyDescent="0.25">
      <c r="A585" s="10"/>
      <c r="B585" s="10"/>
      <c r="C585" s="10"/>
      <c r="D585" s="10"/>
      <c r="E585" s="10"/>
      <c r="F585" s="10"/>
      <c r="G585" s="9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</row>
    <row r="586" spans="1:49" x14ac:dyDescent="0.25">
      <c r="A586" s="10"/>
      <c r="B586" s="10"/>
      <c r="C586" s="10"/>
      <c r="D586" s="10"/>
      <c r="E586" s="10"/>
      <c r="F586" s="10"/>
      <c r="G586" s="9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</row>
    <row r="587" spans="1:49" x14ac:dyDescent="0.25">
      <c r="A587" s="10"/>
      <c r="B587" s="10"/>
      <c r="C587" s="10"/>
      <c r="D587" s="10"/>
      <c r="E587" s="10"/>
      <c r="F587" s="10"/>
      <c r="G587" s="9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</row>
    <row r="588" spans="1:49" x14ac:dyDescent="0.25">
      <c r="A588" s="10"/>
      <c r="B588" s="10"/>
      <c r="C588" s="10"/>
      <c r="D588" s="10"/>
      <c r="E588" s="10"/>
      <c r="F588" s="10"/>
      <c r="G588" s="9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</row>
    <row r="589" spans="1:49" x14ac:dyDescent="0.25">
      <c r="A589" s="10"/>
      <c r="B589" s="10"/>
      <c r="C589" s="10"/>
      <c r="D589" s="10"/>
      <c r="E589" s="10"/>
      <c r="F589" s="10"/>
      <c r="G589" s="9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</row>
    <row r="590" spans="1:49" x14ac:dyDescent="0.25">
      <c r="A590" s="10"/>
      <c r="B590" s="10"/>
      <c r="C590" s="10"/>
      <c r="D590" s="10"/>
      <c r="E590" s="10"/>
      <c r="F590" s="10"/>
      <c r="G590" s="9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</row>
    <row r="591" spans="1:49" x14ac:dyDescent="0.25">
      <c r="A591" s="10"/>
      <c r="B591" s="10"/>
      <c r="C591" s="10"/>
      <c r="D591" s="10"/>
      <c r="E591" s="10"/>
      <c r="F591" s="10"/>
      <c r="G591" s="9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</row>
    <row r="592" spans="1:49" x14ac:dyDescent="0.25">
      <c r="A592" s="10"/>
      <c r="B592" s="10"/>
      <c r="C592" s="10"/>
      <c r="D592" s="10"/>
      <c r="E592" s="10"/>
      <c r="F592" s="10"/>
      <c r="G592" s="9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</row>
    <row r="593" spans="1:49" x14ac:dyDescent="0.25">
      <c r="A593" s="10"/>
      <c r="B593" s="10"/>
      <c r="C593" s="10"/>
      <c r="D593" s="10"/>
      <c r="E593" s="10"/>
      <c r="F593" s="10"/>
      <c r="G593" s="9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</row>
    <row r="594" spans="1:49" x14ac:dyDescent="0.25">
      <c r="A594" s="10"/>
      <c r="B594" s="10"/>
      <c r="C594" s="10"/>
      <c r="D594" s="10"/>
      <c r="E594" s="10"/>
      <c r="F594" s="10"/>
      <c r="G594" s="9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</row>
    <row r="595" spans="1:49" x14ac:dyDescent="0.25">
      <c r="A595" s="10"/>
      <c r="B595" s="10"/>
      <c r="C595" s="10"/>
      <c r="D595" s="10"/>
      <c r="E595" s="10"/>
      <c r="F595" s="10"/>
      <c r="G595" s="9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</row>
    <row r="596" spans="1:49" x14ac:dyDescent="0.25">
      <c r="A596" s="10"/>
      <c r="B596" s="10"/>
      <c r="C596" s="10"/>
      <c r="D596" s="10"/>
      <c r="E596" s="10"/>
      <c r="F596" s="10"/>
      <c r="G596" s="9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</row>
    <row r="597" spans="1:49" x14ac:dyDescent="0.25">
      <c r="A597" s="10"/>
      <c r="B597" s="10"/>
      <c r="C597" s="10"/>
      <c r="D597" s="10"/>
      <c r="E597" s="10"/>
      <c r="F597" s="10"/>
      <c r="G597" s="9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</row>
    <row r="598" spans="1:49" x14ac:dyDescent="0.25">
      <c r="A598" s="10"/>
      <c r="B598" s="10"/>
      <c r="C598" s="10"/>
      <c r="D598" s="10"/>
      <c r="E598" s="10"/>
      <c r="F598" s="10"/>
      <c r="G598" s="9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</row>
    <row r="599" spans="1:49" x14ac:dyDescent="0.25">
      <c r="A599" s="10"/>
      <c r="B599" s="10"/>
      <c r="C599" s="10"/>
      <c r="D599" s="10"/>
      <c r="E599" s="10"/>
      <c r="F599" s="10"/>
      <c r="G599" s="9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</row>
    <row r="600" spans="1:49" x14ac:dyDescent="0.25">
      <c r="A600" s="10"/>
      <c r="B600" s="10"/>
      <c r="C600" s="10"/>
      <c r="D600" s="10"/>
      <c r="E600" s="10"/>
      <c r="F600" s="10"/>
      <c r="G600" s="9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</row>
    <row r="601" spans="1:49" x14ac:dyDescent="0.25">
      <c r="A601" s="10"/>
      <c r="B601" s="10"/>
      <c r="C601" s="10"/>
      <c r="D601" s="10"/>
      <c r="E601" s="10"/>
      <c r="F601" s="10"/>
      <c r="G601" s="9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</row>
    <row r="602" spans="1:49" x14ac:dyDescent="0.25">
      <c r="A602" s="10"/>
      <c r="B602" s="10"/>
      <c r="C602" s="10"/>
      <c r="D602" s="10"/>
      <c r="E602" s="10"/>
      <c r="F602" s="10"/>
      <c r="G602" s="9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</row>
    <row r="603" spans="1:49" x14ac:dyDescent="0.25">
      <c r="A603" s="10"/>
      <c r="B603" s="10"/>
      <c r="C603" s="10"/>
      <c r="D603" s="10"/>
      <c r="E603" s="10"/>
      <c r="F603" s="10"/>
      <c r="G603" s="9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</row>
    <row r="604" spans="1:49" x14ac:dyDescent="0.25">
      <c r="A604" s="10"/>
      <c r="B604" s="10"/>
      <c r="C604" s="10"/>
      <c r="D604" s="10"/>
      <c r="E604" s="10"/>
      <c r="F604" s="10"/>
      <c r="G604" s="9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</row>
    <row r="605" spans="1:49" x14ac:dyDescent="0.25">
      <c r="A605" s="10"/>
      <c r="B605" s="10"/>
      <c r="C605" s="10"/>
      <c r="D605" s="10"/>
      <c r="E605" s="10"/>
      <c r="F605" s="10"/>
      <c r="G605" s="9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</row>
    <row r="606" spans="1:49" x14ac:dyDescent="0.25">
      <c r="A606" s="10"/>
      <c r="B606" s="10"/>
      <c r="C606" s="10"/>
      <c r="D606" s="10"/>
      <c r="E606" s="10"/>
      <c r="F606" s="10"/>
      <c r="G606" s="9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</row>
    <row r="607" spans="1:49" x14ac:dyDescent="0.25">
      <c r="A607" s="10"/>
      <c r="B607" s="10"/>
      <c r="C607" s="10"/>
      <c r="D607" s="10"/>
      <c r="E607" s="10"/>
      <c r="F607" s="10"/>
      <c r="G607" s="9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</row>
    <row r="608" spans="1:49" x14ac:dyDescent="0.25">
      <c r="A608" s="10"/>
      <c r="B608" s="10"/>
      <c r="C608" s="10"/>
      <c r="D608" s="10"/>
      <c r="E608" s="10"/>
      <c r="F608" s="10"/>
      <c r="G608" s="9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</row>
    <row r="609" spans="1:49" x14ac:dyDescent="0.25">
      <c r="A609" s="10"/>
      <c r="B609" s="10"/>
      <c r="C609" s="10"/>
      <c r="D609" s="10"/>
      <c r="E609" s="10"/>
      <c r="F609" s="10"/>
      <c r="G609" s="9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</row>
    <row r="610" spans="1:49" x14ac:dyDescent="0.25">
      <c r="A610" s="10"/>
      <c r="B610" s="10"/>
      <c r="C610" s="10"/>
      <c r="D610" s="10"/>
      <c r="E610" s="10"/>
      <c r="F610" s="10"/>
      <c r="G610" s="9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</row>
    <row r="611" spans="1:49" x14ac:dyDescent="0.25">
      <c r="A611" s="10"/>
      <c r="B611" s="10"/>
      <c r="C611" s="10"/>
      <c r="D611" s="10"/>
      <c r="E611" s="10"/>
      <c r="F611" s="10"/>
      <c r="G611" s="9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</row>
    <row r="612" spans="1:49" x14ac:dyDescent="0.25">
      <c r="A612" s="10"/>
      <c r="B612" s="10"/>
      <c r="C612" s="10"/>
      <c r="D612" s="10"/>
      <c r="E612" s="10"/>
      <c r="F612" s="10"/>
      <c r="G612" s="9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</row>
    <row r="613" spans="1:49" x14ac:dyDescent="0.25">
      <c r="A613" s="10"/>
      <c r="B613" s="10"/>
      <c r="C613" s="10"/>
      <c r="D613" s="10"/>
      <c r="E613" s="10"/>
      <c r="F613" s="10"/>
      <c r="G613" s="9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</row>
    <row r="614" spans="1:49" x14ac:dyDescent="0.25">
      <c r="A614" s="10"/>
      <c r="B614" s="10"/>
      <c r="C614" s="10"/>
      <c r="D614" s="10"/>
      <c r="E614" s="10"/>
      <c r="F614" s="10"/>
      <c r="G614" s="9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</row>
    <row r="615" spans="1:49" x14ac:dyDescent="0.25">
      <c r="A615" s="10"/>
      <c r="B615" s="10"/>
      <c r="C615" s="10"/>
      <c r="D615" s="10"/>
      <c r="E615" s="10"/>
      <c r="F615" s="10"/>
      <c r="G615" s="9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</row>
    <row r="616" spans="1:49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</row>
    <row r="617" spans="1:49" x14ac:dyDescent="0.25">
      <c r="A617" s="10"/>
      <c r="B617" s="10"/>
      <c r="C617" s="10"/>
      <c r="D617" s="10"/>
      <c r="E617" s="10"/>
      <c r="F617" s="10"/>
      <c r="G617" s="9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</row>
    <row r="618" spans="1:49" x14ac:dyDescent="0.25">
      <c r="A618" s="10"/>
      <c r="B618" s="10"/>
      <c r="C618" s="10"/>
      <c r="D618" s="10"/>
      <c r="E618" s="10"/>
      <c r="F618" s="10"/>
      <c r="G618" s="9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</row>
    <row r="619" spans="1:49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</row>
    <row r="620" spans="1:49" x14ac:dyDescent="0.25">
      <c r="A620" s="10"/>
      <c r="B620" s="10"/>
      <c r="C620" s="10"/>
      <c r="D620" s="10"/>
      <c r="E620" s="10"/>
      <c r="F620" s="10"/>
      <c r="G620" s="9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</row>
    <row r="621" spans="1:49" x14ac:dyDescent="0.25">
      <c r="A621" s="10"/>
      <c r="B621" s="10"/>
      <c r="C621" s="10"/>
      <c r="D621" s="10"/>
      <c r="E621" s="10"/>
      <c r="F621" s="10"/>
      <c r="G621" s="9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</row>
    <row r="622" spans="1:49" x14ac:dyDescent="0.25">
      <c r="A622" s="10"/>
      <c r="B622" s="10"/>
      <c r="C622" s="10"/>
      <c r="D622" s="10"/>
      <c r="E622" s="10"/>
      <c r="F622" s="10"/>
      <c r="G622" s="9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</row>
    <row r="623" spans="1:49" x14ac:dyDescent="0.25">
      <c r="A623" s="10"/>
      <c r="B623" s="10"/>
      <c r="C623" s="10"/>
      <c r="D623" s="10"/>
      <c r="E623" s="10"/>
      <c r="F623" s="10"/>
      <c r="G623" s="9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</row>
    <row r="624" spans="1:49" x14ac:dyDescent="0.25">
      <c r="A624" s="10"/>
      <c r="B624" s="10"/>
      <c r="C624" s="10"/>
      <c r="D624" s="10"/>
      <c r="E624" s="10"/>
      <c r="F624" s="10"/>
      <c r="G624" s="9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</row>
    <row r="625" spans="1:49" x14ac:dyDescent="0.25">
      <c r="A625" s="10"/>
      <c r="B625" s="10"/>
      <c r="C625" s="10"/>
      <c r="D625" s="10"/>
      <c r="E625" s="10"/>
      <c r="F625" s="10"/>
      <c r="G625" s="9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</row>
    <row r="626" spans="1:49" x14ac:dyDescent="0.25">
      <c r="A626" s="10"/>
      <c r="B626" s="10"/>
      <c r="C626" s="10"/>
      <c r="D626" s="10"/>
      <c r="E626" s="10"/>
      <c r="F626" s="10"/>
      <c r="G626" s="9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</row>
    <row r="627" spans="1:49" x14ac:dyDescent="0.25">
      <c r="A627" s="10"/>
      <c r="B627" s="10"/>
      <c r="C627" s="10"/>
      <c r="D627" s="10"/>
      <c r="E627" s="10"/>
      <c r="F627" s="10"/>
      <c r="G627" s="9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</row>
    <row r="628" spans="1:49" x14ac:dyDescent="0.25">
      <c r="A628" s="10"/>
      <c r="B628" s="10"/>
      <c r="C628" s="10"/>
      <c r="D628" s="10"/>
      <c r="E628" s="10"/>
      <c r="F628" s="10"/>
      <c r="G628" s="9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</row>
    <row r="629" spans="1:49" x14ac:dyDescent="0.25">
      <c r="A629" s="10"/>
      <c r="B629" s="10"/>
      <c r="C629" s="10"/>
      <c r="D629" s="10"/>
      <c r="E629" s="10"/>
      <c r="F629" s="10"/>
      <c r="G629" s="9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</row>
    <row r="630" spans="1:49" x14ac:dyDescent="0.25">
      <c r="A630" s="10"/>
      <c r="B630" s="10"/>
      <c r="C630" s="10"/>
      <c r="D630" s="10"/>
      <c r="E630" s="10"/>
      <c r="F630" s="10"/>
      <c r="G630" s="9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</row>
    <row r="631" spans="1:49" x14ac:dyDescent="0.25">
      <c r="A631" s="10"/>
      <c r="B631" s="10"/>
      <c r="C631" s="10"/>
      <c r="D631" s="10"/>
      <c r="E631" s="10"/>
      <c r="F631" s="10"/>
      <c r="G631" s="9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</row>
    <row r="632" spans="1:49" x14ac:dyDescent="0.25">
      <c r="A632" s="10"/>
      <c r="B632" s="10"/>
      <c r="C632" s="10"/>
      <c r="D632" s="10"/>
      <c r="E632" s="10"/>
      <c r="F632" s="10"/>
      <c r="G632" s="9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</row>
    <row r="633" spans="1:49" x14ac:dyDescent="0.25">
      <c r="A633" s="10"/>
      <c r="B633" s="10"/>
      <c r="C633" s="10"/>
      <c r="D633" s="10"/>
      <c r="E633" s="10"/>
      <c r="F633" s="10"/>
      <c r="G633" s="9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</row>
    <row r="634" spans="1:49" x14ac:dyDescent="0.25">
      <c r="A634" s="10"/>
      <c r="B634" s="10"/>
      <c r="C634" s="10"/>
      <c r="D634" s="10"/>
      <c r="E634" s="10"/>
      <c r="F634" s="10"/>
      <c r="G634" s="9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</row>
    <row r="635" spans="1:49" x14ac:dyDescent="0.25">
      <c r="A635" s="10"/>
      <c r="B635" s="10"/>
      <c r="C635" s="10"/>
      <c r="D635" s="10"/>
      <c r="E635" s="10"/>
      <c r="F635" s="10"/>
      <c r="G635" s="9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</row>
    <row r="636" spans="1:49" x14ac:dyDescent="0.25">
      <c r="A636" s="10"/>
      <c r="B636" s="10"/>
      <c r="C636" s="10"/>
      <c r="D636" s="10"/>
      <c r="E636" s="10"/>
      <c r="F636" s="10"/>
      <c r="G636" s="9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</row>
    <row r="637" spans="1:49" x14ac:dyDescent="0.25">
      <c r="A637" s="10"/>
      <c r="B637" s="10"/>
      <c r="C637" s="10"/>
      <c r="D637" s="10"/>
      <c r="E637" s="10"/>
      <c r="F637" s="10"/>
      <c r="G637" s="9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</row>
    <row r="638" spans="1:49" x14ac:dyDescent="0.25">
      <c r="A638" s="10"/>
      <c r="B638" s="10"/>
      <c r="C638" s="10"/>
      <c r="D638" s="10"/>
      <c r="E638" s="10"/>
      <c r="F638" s="10"/>
      <c r="G638" s="9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</row>
    <row r="639" spans="1:49" x14ac:dyDescent="0.25">
      <c r="A639" s="10"/>
      <c r="B639" s="10"/>
      <c r="C639" s="10"/>
      <c r="D639" s="10"/>
      <c r="E639" s="10"/>
      <c r="F639" s="10"/>
      <c r="G639" s="9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</row>
    <row r="640" spans="1:49" x14ac:dyDescent="0.25">
      <c r="A640" s="10"/>
      <c r="B640" s="10"/>
      <c r="C640" s="10"/>
      <c r="D640" s="10"/>
      <c r="E640" s="10"/>
      <c r="F640" s="10"/>
      <c r="G640" s="9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</row>
    <row r="641" spans="1:49" x14ac:dyDescent="0.25">
      <c r="A641" s="10"/>
      <c r="B641" s="10"/>
      <c r="C641" s="10"/>
      <c r="D641" s="10"/>
      <c r="E641" s="10"/>
      <c r="F641" s="10"/>
      <c r="G641" s="9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</row>
    <row r="642" spans="1:49" x14ac:dyDescent="0.25">
      <c r="A642" s="10"/>
      <c r="B642" s="10"/>
      <c r="C642" s="10"/>
      <c r="D642" s="10"/>
      <c r="E642" s="10"/>
      <c r="F642" s="10"/>
      <c r="G642" s="9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</row>
    <row r="643" spans="1:49" x14ac:dyDescent="0.25">
      <c r="A643" s="10"/>
      <c r="B643" s="10"/>
      <c r="C643" s="10"/>
      <c r="D643" s="10"/>
      <c r="E643" s="10"/>
      <c r="F643" s="10"/>
      <c r="G643" s="9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</row>
    <row r="644" spans="1:49" x14ac:dyDescent="0.25">
      <c r="A644" s="10"/>
      <c r="B644" s="10"/>
      <c r="C644" s="10"/>
      <c r="D644" s="10"/>
      <c r="E644" s="10"/>
      <c r="F644" s="10"/>
      <c r="G644" s="9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</row>
    <row r="645" spans="1:49" x14ac:dyDescent="0.25">
      <c r="A645" s="10"/>
      <c r="B645" s="10"/>
      <c r="C645" s="10"/>
      <c r="D645" s="10"/>
      <c r="E645" s="10"/>
      <c r="F645" s="10"/>
      <c r="G645" s="9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</row>
    <row r="646" spans="1:49" x14ac:dyDescent="0.25">
      <c r="A646" s="10"/>
      <c r="B646" s="10"/>
      <c r="C646" s="10"/>
      <c r="D646" s="10"/>
      <c r="E646" s="10"/>
      <c r="F646" s="10"/>
      <c r="G646" s="9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</row>
    <row r="647" spans="1:49" x14ac:dyDescent="0.25">
      <c r="A647" s="10"/>
      <c r="B647" s="10"/>
      <c r="C647" s="10"/>
      <c r="D647" s="10"/>
      <c r="E647" s="10"/>
      <c r="F647" s="10"/>
      <c r="G647" s="9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</row>
    <row r="648" spans="1:49" x14ac:dyDescent="0.25">
      <c r="A648" s="10"/>
      <c r="B648" s="10"/>
      <c r="C648" s="10"/>
      <c r="D648" s="10"/>
      <c r="E648" s="10"/>
      <c r="F648" s="10"/>
      <c r="G648" s="9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</row>
    <row r="649" spans="1:49" x14ac:dyDescent="0.25">
      <c r="A649" s="10"/>
      <c r="B649" s="10"/>
      <c r="C649" s="10"/>
      <c r="D649" s="10"/>
      <c r="E649" s="10"/>
      <c r="F649" s="10"/>
      <c r="G649" s="9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</row>
    <row r="650" spans="1:49" x14ac:dyDescent="0.25">
      <c r="A650" s="10"/>
      <c r="B650" s="10"/>
      <c r="C650" s="10"/>
      <c r="D650" s="10"/>
      <c r="E650" s="10"/>
      <c r="F650" s="10"/>
      <c r="G650" s="9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</row>
    <row r="651" spans="1:49" x14ac:dyDescent="0.25">
      <c r="A651" s="10"/>
      <c r="B651" s="10"/>
      <c r="C651" s="10"/>
      <c r="D651" s="10"/>
      <c r="E651" s="10"/>
      <c r="F651" s="10"/>
      <c r="G651" s="9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</row>
    <row r="652" spans="1:49" x14ac:dyDescent="0.25">
      <c r="A652" s="10"/>
      <c r="B652" s="10"/>
      <c r="C652" s="10"/>
      <c r="D652" s="10"/>
      <c r="E652" s="10"/>
      <c r="F652" s="10"/>
      <c r="G652" s="9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</row>
    <row r="653" spans="1:49" x14ac:dyDescent="0.25">
      <c r="A653" s="10"/>
      <c r="B653" s="10"/>
      <c r="C653" s="10"/>
      <c r="D653" s="10"/>
      <c r="E653" s="10"/>
      <c r="F653" s="10"/>
      <c r="G653" s="9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</row>
    <row r="654" spans="1:49" x14ac:dyDescent="0.25">
      <c r="A654" s="10"/>
      <c r="B654" s="10"/>
      <c r="C654" s="10"/>
      <c r="D654" s="10"/>
      <c r="E654" s="10"/>
      <c r="F654" s="10"/>
      <c r="G654" s="9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</row>
    <row r="655" spans="1:49" x14ac:dyDescent="0.25">
      <c r="A655" s="10"/>
      <c r="B655" s="10"/>
      <c r="C655" s="10"/>
      <c r="D655" s="10"/>
      <c r="E655" s="10"/>
      <c r="F655" s="10"/>
      <c r="G655" s="9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</row>
    <row r="656" spans="1:49" x14ac:dyDescent="0.25">
      <c r="A656" s="10"/>
      <c r="B656" s="10"/>
      <c r="C656" s="10"/>
      <c r="D656" s="10"/>
      <c r="E656" s="10"/>
      <c r="F656" s="10"/>
      <c r="G656" s="9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</row>
    <row r="657" spans="1:49" x14ac:dyDescent="0.25">
      <c r="A657" s="10"/>
      <c r="B657" s="10"/>
      <c r="C657" s="10"/>
      <c r="D657" s="10"/>
      <c r="E657" s="10"/>
      <c r="F657" s="10"/>
      <c r="G657" s="9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</row>
    <row r="658" spans="1:49" x14ac:dyDescent="0.25">
      <c r="A658" s="10"/>
      <c r="B658" s="10"/>
      <c r="C658" s="10"/>
      <c r="D658" s="10"/>
      <c r="E658" s="10"/>
      <c r="F658" s="10"/>
      <c r="G658" s="9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</row>
    <row r="659" spans="1:49" x14ac:dyDescent="0.25">
      <c r="A659" s="10"/>
      <c r="B659" s="10"/>
      <c r="C659" s="10"/>
      <c r="D659" s="10"/>
      <c r="E659" s="10"/>
      <c r="F659" s="10"/>
      <c r="G659" s="9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</row>
    <row r="660" spans="1:49" x14ac:dyDescent="0.25">
      <c r="A660" s="10"/>
      <c r="B660" s="10"/>
      <c r="C660" s="10"/>
      <c r="D660" s="10"/>
      <c r="E660" s="10"/>
      <c r="F660" s="10"/>
      <c r="G660" s="9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</row>
    <row r="661" spans="1:49" x14ac:dyDescent="0.25">
      <c r="A661" s="10"/>
      <c r="B661" s="10"/>
      <c r="C661" s="10"/>
      <c r="D661" s="10"/>
      <c r="E661" s="10"/>
      <c r="F661" s="10"/>
      <c r="G661" s="9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</row>
    <row r="662" spans="1:49" x14ac:dyDescent="0.25">
      <c r="A662" s="10"/>
      <c r="B662" s="10"/>
      <c r="C662" s="10"/>
      <c r="D662" s="10"/>
      <c r="E662" s="10"/>
      <c r="F662" s="10"/>
      <c r="G662" s="9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</row>
    <row r="663" spans="1:49" x14ac:dyDescent="0.25">
      <c r="A663" s="10"/>
      <c r="B663" s="10"/>
      <c r="C663" s="10"/>
      <c r="D663" s="10"/>
      <c r="E663" s="10"/>
      <c r="F663" s="10"/>
      <c r="G663" s="9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</row>
    <row r="664" spans="1:49" x14ac:dyDescent="0.25">
      <c r="A664" s="10"/>
      <c r="B664" s="10"/>
      <c r="C664" s="10"/>
      <c r="D664" s="10"/>
      <c r="E664" s="10"/>
      <c r="F664" s="10"/>
      <c r="G664" s="9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</row>
    <row r="665" spans="1:49" x14ac:dyDescent="0.25">
      <c r="A665" s="10"/>
      <c r="B665" s="10"/>
      <c r="C665" s="10"/>
      <c r="D665" s="10"/>
      <c r="E665" s="10"/>
      <c r="F665" s="10"/>
      <c r="G665" s="9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</row>
    <row r="666" spans="1:49" x14ac:dyDescent="0.25">
      <c r="A666" s="10"/>
      <c r="B666" s="10"/>
      <c r="C666" s="10"/>
      <c r="D666" s="10"/>
      <c r="E666" s="10"/>
      <c r="F666" s="10"/>
      <c r="G666" s="9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</row>
    <row r="667" spans="1:49" x14ac:dyDescent="0.25">
      <c r="A667" s="10"/>
      <c r="B667" s="10"/>
      <c r="C667" s="10"/>
      <c r="D667" s="10"/>
      <c r="E667" s="10"/>
      <c r="F667" s="10"/>
      <c r="G667" s="9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</row>
    <row r="668" spans="1:49" x14ac:dyDescent="0.25">
      <c r="A668" s="10"/>
      <c r="B668" s="10"/>
      <c r="C668" s="10"/>
      <c r="D668" s="10"/>
      <c r="E668" s="10"/>
      <c r="F668" s="10"/>
      <c r="G668" s="9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</row>
    <row r="669" spans="1:49" x14ac:dyDescent="0.25">
      <c r="A669" s="10"/>
      <c r="B669" s="10"/>
      <c r="C669" s="10"/>
      <c r="D669" s="10"/>
      <c r="E669" s="10"/>
      <c r="F669" s="10"/>
      <c r="G669" s="9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</row>
    <row r="670" spans="1:49" x14ac:dyDescent="0.25">
      <c r="A670" s="10"/>
      <c r="B670" s="10"/>
      <c r="C670" s="10"/>
      <c r="D670" s="10"/>
      <c r="E670" s="10"/>
      <c r="F670" s="10"/>
      <c r="G670" s="9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</row>
    <row r="671" spans="1:49" x14ac:dyDescent="0.25">
      <c r="A671" s="10"/>
      <c r="B671" s="10"/>
      <c r="C671" s="10"/>
      <c r="D671" s="10"/>
      <c r="E671" s="10"/>
      <c r="F671" s="10"/>
      <c r="G671" s="9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</row>
    <row r="672" spans="1:49" x14ac:dyDescent="0.25">
      <c r="A672" s="10"/>
      <c r="B672" s="10"/>
      <c r="C672" s="10"/>
      <c r="D672" s="10"/>
      <c r="E672" s="10"/>
      <c r="F672" s="10"/>
      <c r="G672" s="9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</row>
    <row r="673" spans="1:49" x14ac:dyDescent="0.25">
      <c r="A673" s="10"/>
      <c r="B673" s="10"/>
      <c r="C673" s="10"/>
      <c r="D673" s="10"/>
      <c r="E673" s="10"/>
      <c r="F673" s="10"/>
      <c r="G673" s="9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</row>
    <row r="674" spans="1:49" x14ac:dyDescent="0.25">
      <c r="A674" s="10"/>
      <c r="B674" s="10"/>
      <c r="C674" s="10"/>
      <c r="D674" s="10"/>
      <c r="E674" s="10"/>
      <c r="F674" s="10"/>
      <c r="G674" s="9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</row>
    <row r="675" spans="1:49" x14ac:dyDescent="0.25">
      <c r="A675" s="10"/>
      <c r="B675" s="10"/>
      <c r="C675" s="10"/>
      <c r="D675" s="10"/>
      <c r="E675" s="10"/>
      <c r="F675" s="10"/>
      <c r="G675" s="9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</row>
    <row r="676" spans="1:49" x14ac:dyDescent="0.25">
      <c r="A676" s="10"/>
      <c r="B676" s="10"/>
      <c r="C676" s="10"/>
      <c r="D676" s="10"/>
      <c r="E676" s="10"/>
      <c r="F676" s="10"/>
      <c r="G676" s="9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</row>
    <row r="677" spans="1:49" x14ac:dyDescent="0.25">
      <c r="A677" s="10"/>
      <c r="B677" s="10"/>
      <c r="C677" s="10"/>
      <c r="D677" s="10"/>
      <c r="E677" s="10"/>
      <c r="F677" s="10"/>
      <c r="G677" s="9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</row>
    <row r="678" spans="1:49" x14ac:dyDescent="0.25">
      <c r="A678" s="10"/>
      <c r="B678" s="10"/>
      <c r="C678" s="10"/>
      <c r="D678" s="10"/>
      <c r="E678" s="10"/>
      <c r="F678" s="10"/>
      <c r="G678" s="9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</row>
    <row r="679" spans="1:49" x14ac:dyDescent="0.25">
      <c r="A679" s="10"/>
      <c r="B679" s="10"/>
      <c r="C679" s="10"/>
      <c r="D679" s="10"/>
      <c r="E679" s="10"/>
      <c r="F679" s="10"/>
      <c r="G679" s="9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</row>
    <row r="680" spans="1:49" x14ac:dyDescent="0.25">
      <c r="A680" s="10"/>
      <c r="B680" s="10"/>
      <c r="C680" s="10"/>
      <c r="D680" s="10"/>
      <c r="E680" s="10"/>
      <c r="F680" s="10"/>
      <c r="G680" s="9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</row>
    <row r="681" spans="1:49" x14ac:dyDescent="0.25">
      <c r="A681" s="10"/>
      <c r="B681" s="10"/>
      <c r="C681" s="10"/>
      <c r="D681" s="10"/>
      <c r="E681" s="10"/>
      <c r="F681" s="10"/>
      <c r="G681" s="9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</row>
    <row r="682" spans="1:49" x14ac:dyDescent="0.25">
      <c r="A682" s="10"/>
      <c r="B682" s="10"/>
      <c r="C682" s="10"/>
      <c r="D682" s="10"/>
      <c r="E682" s="10"/>
      <c r="F682" s="10"/>
      <c r="G682" s="9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</row>
    <row r="683" spans="1:49" x14ac:dyDescent="0.25">
      <c r="A683" s="10"/>
      <c r="B683" s="10"/>
      <c r="C683" s="10"/>
      <c r="D683" s="10"/>
      <c r="E683" s="10"/>
      <c r="F683" s="10"/>
      <c r="G683" s="9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</row>
    <row r="684" spans="1:49" x14ac:dyDescent="0.25">
      <c r="A684" s="10"/>
      <c r="B684" s="10"/>
      <c r="C684" s="10"/>
      <c r="D684" s="10"/>
      <c r="E684" s="10"/>
      <c r="F684" s="10"/>
      <c r="G684" s="9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</row>
    <row r="685" spans="1:49" x14ac:dyDescent="0.25">
      <c r="A685" s="10"/>
      <c r="B685" s="10"/>
      <c r="C685" s="10"/>
      <c r="D685" s="10"/>
      <c r="E685" s="10"/>
      <c r="F685" s="10"/>
      <c r="G685" s="9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</row>
    <row r="686" spans="1:49" x14ac:dyDescent="0.25">
      <c r="A686" s="10"/>
      <c r="B686" s="10"/>
      <c r="C686" s="10"/>
      <c r="D686" s="10"/>
      <c r="E686" s="10"/>
      <c r="F686" s="10"/>
      <c r="G686" s="9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</row>
    <row r="687" spans="1:49" x14ac:dyDescent="0.25">
      <c r="A687" s="10"/>
      <c r="B687" s="10"/>
      <c r="C687" s="10"/>
      <c r="D687" s="10"/>
      <c r="E687" s="10"/>
      <c r="F687" s="10"/>
      <c r="G687" s="9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</row>
    <row r="688" spans="1:49" x14ac:dyDescent="0.25">
      <c r="A688" s="10"/>
      <c r="B688" s="10"/>
      <c r="C688" s="10"/>
      <c r="D688" s="10"/>
      <c r="E688" s="10"/>
      <c r="F688" s="10"/>
      <c r="G688" s="9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</row>
    <row r="689" spans="1:49" x14ac:dyDescent="0.25">
      <c r="A689" s="10"/>
      <c r="B689" s="10"/>
      <c r="C689" s="10"/>
      <c r="D689" s="10"/>
      <c r="E689" s="10"/>
      <c r="F689" s="10"/>
      <c r="G689" s="9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</row>
    <row r="690" spans="1:49" x14ac:dyDescent="0.25">
      <c r="A690" s="10"/>
      <c r="B690" s="10"/>
      <c r="C690" s="10"/>
      <c r="D690" s="10"/>
      <c r="E690" s="10"/>
      <c r="F690" s="10"/>
      <c r="G690" s="9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</row>
    <row r="691" spans="1:49" x14ac:dyDescent="0.25">
      <c r="A691" s="10"/>
      <c r="B691" s="10"/>
      <c r="C691" s="10"/>
      <c r="D691" s="10"/>
      <c r="E691" s="10"/>
      <c r="F691" s="10"/>
      <c r="G691" s="9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</row>
    <row r="692" spans="1:49" x14ac:dyDescent="0.25">
      <c r="A692" s="10"/>
      <c r="B692" s="10"/>
      <c r="C692" s="10"/>
      <c r="D692" s="10"/>
      <c r="E692" s="10"/>
      <c r="F692" s="10"/>
      <c r="G692" s="9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</row>
    <row r="693" spans="1:49" x14ac:dyDescent="0.25">
      <c r="A693" s="10"/>
      <c r="B693" s="10"/>
      <c r="C693" s="10"/>
      <c r="D693" s="10"/>
      <c r="E693" s="10"/>
      <c r="F693" s="10"/>
      <c r="G693" s="9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</row>
    <row r="694" spans="1:49" x14ac:dyDescent="0.25">
      <c r="A694" s="10"/>
      <c r="B694" s="10"/>
      <c r="C694" s="10"/>
      <c r="D694" s="10"/>
      <c r="E694" s="10"/>
      <c r="F694" s="10"/>
      <c r="G694" s="9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</row>
    <row r="695" spans="1:49" x14ac:dyDescent="0.25">
      <c r="A695" s="10"/>
      <c r="B695" s="10"/>
      <c r="C695" s="10"/>
      <c r="D695" s="10"/>
      <c r="E695" s="10"/>
      <c r="F695" s="10"/>
      <c r="G695" s="9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</row>
    <row r="696" spans="1:49" x14ac:dyDescent="0.25">
      <c r="A696" s="10"/>
      <c r="B696" s="10"/>
      <c r="C696" s="10"/>
      <c r="D696" s="10"/>
      <c r="E696" s="10"/>
      <c r="F696" s="10"/>
      <c r="G696" s="9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</row>
    <row r="697" spans="1:49" x14ac:dyDescent="0.25">
      <c r="A697" s="10"/>
      <c r="B697" s="10"/>
      <c r="C697" s="10"/>
      <c r="D697" s="10"/>
      <c r="E697" s="10"/>
      <c r="F697" s="10"/>
      <c r="G697" s="9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</row>
    <row r="698" spans="1:49" x14ac:dyDescent="0.25">
      <c r="A698" s="10"/>
      <c r="B698" s="10"/>
      <c r="C698" s="10"/>
      <c r="D698" s="10"/>
      <c r="E698" s="10"/>
      <c r="F698" s="10"/>
      <c r="G698" s="9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</row>
    <row r="699" spans="1:49" x14ac:dyDescent="0.25">
      <c r="A699" s="10"/>
      <c r="B699" s="10"/>
      <c r="C699" s="10"/>
      <c r="D699" s="10"/>
      <c r="E699" s="10"/>
      <c r="F699" s="10"/>
      <c r="G699" s="9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</row>
    <row r="700" spans="1:49" x14ac:dyDescent="0.25">
      <c r="A700" s="10"/>
      <c r="B700" s="10"/>
      <c r="C700" s="10"/>
      <c r="D700" s="10"/>
      <c r="E700" s="10"/>
      <c r="F700" s="10"/>
      <c r="G700" s="9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</row>
    <row r="701" spans="1:49" x14ac:dyDescent="0.25">
      <c r="A701" s="10"/>
      <c r="B701" s="10"/>
      <c r="C701" s="10"/>
      <c r="D701" s="10"/>
      <c r="E701" s="10"/>
      <c r="F701" s="10"/>
      <c r="G701" s="9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</row>
    <row r="702" spans="1:49" x14ac:dyDescent="0.25">
      <c r="A702" s="10"/>
      <c r="B702" s="10"/>
      <c r="C702" s="10"/>
      <c r="D702" s="10"/>
      <c r="E702" s="10"/>
      <c r="F702" s="10"/>
      <c r="G702" s="9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</row>
    <row r="703" spans="1:49" x14ac:dyDescent="0.25">
      <c r="A703" s="10"/>
      <c r="B703" s="10"/>
      <c r="C703" s="10"/>
      <c r="D703" s="10"/>
      <c r="E703" s="10"/>
      <c r="F703" s="10"/>
      <c r="G703" s="9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</row>
    <row r="704" spans="1:49" x14ac:dyDescent="0.25">
      <c r="A704" s="10"/>
      <c r="B704" s="10"/>
      <c r="C704" s="10"/>
      <c r="D704" s="10"/>
      <c r="E704" s="10"/>
      <c r="F704" s="10"/>
      <c r="G704" s="9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</row>
    <row r="705" spans="1:49" x14ac:dyDescent="0.25">
      <c r="A705" s="10"/>
      <c r="B705" s="10"/>
      <c r="C705" s="10"/>
      <c r="D705" s="10"/>
      <c r="E705" s="10"/>
      <c r="F705" s="10"/>
      <c r="G705" s="9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</row>
    <row r="706" spans="1:49" x14ac:dyDescent="0.25">
      <c r="A706" s="10"/>
      <c r="B706" s="10"/>
      <c r="C706" s="10"/>
      <c r="D706" s="10"/>
      <c r="E706" s="10"/>
      <c r="F706" s="10"/>
      <c r="G706" s="9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</row>
    <row r="707" spans="1:49" x14ac:dyDescent="0.25">
      <c r="A707" s="10"/>
      <c r="B707" s="10"/>
      <c r="C707" s="10"/>
      <c r="D707" s="10"/>
      <c r="E707" s="10"/>
      <c r="F707" s="10"/>
      <c r="G707" s="9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</row>
    <row r="708" spans="1:49" x14ac:dyDescent="0.25">
      <c r="A708" s="10"/>
      <c r="B708" s="10"/>
      <c r="C708" s="10"/>
      <c r="D708" s="10"/>
      <c r="E708" s="10"/>
      <c r="F708" s="10"/>
      <c r="G708" s="9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</row>
    <row r="709" spans="1:49" x14ac:dyDescent="0.25">
      <c r="A709" s="10"/>
      <c r="B709" s="10"/>
      <c r="C709" s="10"/>
      <c r="D709" s="10"/>
      <c r="E709" s="10"/>
      <c r="F709" s="10"/>
      <c r="G709" s="9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</row>
    <row r="710" spans="1:49" x14ac:dyDescent="0.25">
      <c r="A710" s="10"/>
      <c r="B710" s="10"/>
      <c r="C710" s="10"/>
      <c r="D710" s="10"/>
      <c r="E710" s="10"/>
      <c r="F710" s="10"/>
      <c r="G710" s="9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</row>
    <row r="711" spans="1:49" x14ac:dyDescent="0.25">
      <c r="A711" s="10"/>
      <c r="B711" s="10"/>
      <c r="C711" s="10"/>
      <c r="D711" s="10"/>
      <c r="E711" s="10"/>
      <c r="F711" s="10"/>
      <c r="G711" s="9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</row>
    <row r="712" spans="1:49" x14ac:dyDescent="0.25">
      <c r="A712" s="10"/>
      <c r="B712" s="10"/>
      <c r="C712" s="10"/>
      <c r="D712" s="10"/>
      <c r="E712" s="10"/>
      <c r="F712" s="10"/>
      <c r="G712" s="9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</row>
    <row r="713" spans="1:49" x14ac:dyDescent="0.25">
      <c r="A713" s="10"/>
      <c r="B713" s="10"/>
      <c r="C713" s="10"/>
      <c r="D713" s="10"/>
      <c r="E713" s="10"/>
      <c r="F713" s="10"/>
      <c r="G713" s="9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</row>
    <row r="714" spans="1:49" x14ac:dyDescent="0.25">
      <c r="A714" s="10"/>
      <c r="B714" s="10"/>
      <c r="C714" s="10"/>
      <c r="D714" s="10"/>
      <c r="E714" s="10"/>
      <c r="F714" s="10"/>
      <c r="G714" s="9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</row>
    <row r="715" spans="1:49" x14ac:dyDescent="0.25">
      <c r="A715" s="10"/>
      <c r="B715" s="10"/>
      <c r="C715" s="10"/>
      <c r="D715" s="10"/>
      <c r="E715" s="10"/>
      <c r="F715" s="10"/>
      <c r="G715" s="9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</row>
    <row r="716" spans="1:49" x14ac:dyDescent="0.25">
      <c r="A716" s="10"/>
      <c r="B716" s="10"/>
      <c r="C716" s="10"/>
      <c r="D716" s="10"/>
      <c r="E716" s="10"/>
      <c r="F716" s="10"/>
      <c r="G716" s="9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</row>
    <row r="717" spans="1:49" x14ac:dyDescent="0.25">
      <c r="A717" s="10"/>
      <c r="B717" s="10"/>
      <c r="C717" s="10"/>
      <c r="D717" s="10"/>
      <c r="E717" s="10"/>
      <c r="F717" s="10"/>
      <c r="G717" s="9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</row>
    <row r="718" spans="1:49" x14ac:dyDescent="0.25">
      <c r="A718" s="10"/>
      <c r="B718" s="10"/>
      <c r="C718" s="10"/>
      <c r="D718" s="10"/>
      <c r="E718" s="10"/>
      <c r="F718" s="10"/>
      <c r="G718" s="9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</row>
    <row r="719" spans="1:49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</row>
    <row r="720" spans="1:49" x14ac:dyDescent="0.25">
      <c r="A720" s="10"/>
      <c r="B720" s="10"/>
      <c r="C720" s="10"/>
      <c r="D720" s="10"/>
      <c r="E720" s="10"/>
      <c r="F720" s="10"/>
      <c r="G720" s="9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</row>
    <row r="721" spans="1:49" x14ac:dyDescent="0.25">
      <c r="A721" s="10"/>
      <c r="B721" s="10"/>
      <c r="C721" s="10"/>
      <c r="D721" s="10"/>
      <c r="E721" s="10"/>
      <c r="F721" s="10"/>
      <c r="G721" s="9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</row>
    <row r="722" spans="1:49" x14ac:dyDescent="0.25">
      <c r="A722" s="10"/>
      <c r="B722" s="10"/>
      <c r="C722" s="10"/>
      <c r="D722" s="10"/>
      <c r="E722" s="10"/>
      <c r="F722" s="10"/>
      <c r="G722" s="9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</row>
    <row r="723" spans="1:49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</row>
    <row r="724" spans="1:49" x14ac:dyDescent="0.25">
      <c r="A724" s="10"/>
      <c r="B724" s="10"/>
      <c r="C724" s="10"/>
      <c r="D724" s="10"/>
      <c r="E724" s="10"/>
      <c r="F724" s="10"/>
      <c r="G724" s="9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</row>
    <row r="725" spans="1:49" x14ac:dyDescent="0.25">
      <c r="A725" s="10"/>
      <c r="B725" s="10"/>
      <c r="C725" s="10"/>
      <c r="D725" s="10"/>
      <c r="E725" s="10"/>
      <c r="F725" s="10"/>
      <c r="G725" s="9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</row>
    <row r="726" spans="1:49" x14ac:dyDescent="0.25">
      <c r="A726" s="10"/>
      <c r="B726" s="10"/>
      <c r="C726" s="10"/>
      <c r="D726" s="10"/>
      <c r="E726" s="10"/>
      <c r="F726" s="10"/>
      <c r="G726" s="9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</row>
    <row r="727" spans="1:49" x14ac:dyDescent="0.25">
      <c r="A727" s="10"/>
      <c r="B727" s="10"/>
      <c r="C727" s="10"/>
      <c r="D727" s="10"/>
      <c r="E727" s="10"/>
      <c r="F727" s="10"/>
      <c r="G727" s="9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</row>
    <row r="728" spans="1:49" x14ac:dyDescent="0.25">
      <c r="A728" s="10"/>
      <c r="B728" s="10"/>
      <c r="C728" s="10"/>
      <c r="D728" s="10"/>
      <c r="E728" s="10"/>
      <c r="F728" s="10"/>
      <c r="G728" s="9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</row>
    <row r="729" spans="1:49" x14ac:dyDescent="0.25">
      <c r="A729" s="10"/>
      <c r="B729" s="10"/>
      <c r="C729" s="10"/>
      <c r="D729" s="10"/>
      <c r="E729" s="10"/>
      <c r="F729" s="10"/>
      <c r="G729" s="9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</row>
    <row r="730" spans="1:49" x14ac:dyDescent="0.25">
      <c r="A730" s="10"/>
      <c r="B730" s="10"/>
      <c r="C730" s="10"/>
      <c r="D730" s="10"/>
      <c r="E730" s="10"/>
      <c r="F730" s="10"/>
      <c r="G730" s="9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</row>
    <row r="731" spans="1:49" x14ac:dyDescent="0.25">
      <c r="A731" s="10"/>
      <c r="B731" s="10"/>
      <c r="C731" s="10"/>
      <c r="D731" s="10"/>
      <c r="E731" s="10"/>
      <c r="F731" s="10"/>
      <c r="G731" s="9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</row>
    <row r="732" spans="1:49" x14ac:dyDescent="0.25">
      <c r="A732" s="10"/>
      <c r="B732" s="10"/>
      <c r="C732" s="10"/>
      <c r="D732" s="10"/>
      <c r="E732" s="10"/>
      <c r="F732" s="10"/>
      <c r="G732" s="9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</row>
    <row r="733" spans="1:49" x14ac:dyDescent="0.25">
      <c r="A733" s="10"/>
      <c r="B733" s="10"/>
      <c r="C733" s="10"/>
      <c r="D733" s="10"/>
      <c r="E733" s="10"/>
      <c r="F733" s="10"/>
      <c r="G733" s="9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</row>
    <row r="734" spans="1:49" x14ac:dyDescent="0.25">
      <c r="A734" s="10"/>
      <c r="B734" s="10"/>
      <c r="C734" s="10"/>
      <c r="D734" s="10"/>
      <c r="E734" s="10"/>
      <c r="F734" s="10"/>
      <c r="G734" s="9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</row>
    <row r="735" spans="1:49" x14ac:dyDescent="0.25">
      <c r="A735" s="10"/>
      <c r="B735" s="10"/>
      <c r="C735" s="10"/>
      <c r="D735" s="10"/>
      <c r="E735" s="10"/>
      <c r="F735" s="10"/>
      <c r="G735" s="9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</row>
    <row r="736" spans="1:49" x14ac:dyDescent="0.25">
      <c r="A736" s="10"/>
      <c r="B736" s="10"/>
      <c r="C736" s="10"/>
      <c r="D736" s="10"/>
      <c r="E736" s="10"/>
      <c r="F736" s="10"/>
      <c r="G736" s="9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</row>
    <row r="737" spans="1:49" x14ac:dyDescent="0.25">
      <c r="A737" s="10"/>
      <c r="B737" s="10"/>
      <c r="C737" s="10"/>
      <c r="D737" s="10"/>
      <c r="E737" s="10"/>
      <c r="F737" s="10"/>
      <c r="G737" s="9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</row>
    <row r="738" spans="1:49" x14ac:dyDescent="0.25">
      <c r="A738" s="10"/>
      <c r="B738" s="10"/>
      <c r="C738" s="10"/>
      <c r="D738" s="10"/>
      <c r="E738" s="10"/>
      <c r="F738" s="10"/>
      <c r="G738" s="9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</row>
    <row r="739" spans="1:49" x14ac:dyDescent="0.25">
      <c r="A739" s="10"/>
      <c r="B739" s="10"/>
      <c r="C739" s="10"/>
      <c r="D739" s="10"/>
      <c r="E739" s="10"/>
      <c r="F739" s="10"/>
      <c r="G739" s="9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</row>
    <row r="740" spans="1:49" x14ac:dyDescent="0.25">
      <c r="A740" s="10"/>
      <c r="B740" s="10"/>
      <c r="C740" s="10"/>
      <c r="D740" s="10"/>
      <c r="E740" s="10"/>
      <c r="F740" s="10"/>
      <c r="G740" s="9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</row>
    <row r="741" spans="1:49" x14ac:dyDescent="0.25">
      <c r="A741" s="10"/>
      <c r="B741" s="10"/>
      <c r="C741" s="10"/>
      <c r="D741" s="10"/>
      <c r="E741" s="10"/>
      <c r="F741" s="10"/>
      <c r="G741" s="9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</row>
    <row r="742" spans="1:49" x14ac:dyDescent="0.25">
      <c r="A742" s="10"/>
      <c r="B742" s="10"/>
      <c r="C742" s="10"/>
      <c r="D742" s="10"/>
      <c r="E742" s="10"/>
      <c r="F742" s="10"/>
      <c r="G742" s="9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</row>
    <row r="743" spans="1:49" x14ac:dyDescent="0.25">
      <c r="A743" s="10"/>
      <c r="B743" s="10"/>
      <c r="C743" s="10"/>
      <c r="D743" s="10"/>
      <c r="E743" s="10"/>
      <c r="F743" s="10"/>
      <c r="G743" s="9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</row>
    <row r="744" spans="1:49" x14ac:dyDescent="0.25">
      <c r="A744" s="10"/>
      <c r="B744" s="10"/>
      <c r="C744" s="10"/>
      <c r="D744" s="10"/>
      <c r="E744" s="10"/>
      <c r="F744" s="10"/>
      <c r="G744" s="9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</row>
    <row r="745" spans="1:49" x14ac:dyDescent="0.25">
      <c r="A745" s="10"/>
      <c r="B745" s="10"/>
      <c r="C745" s="10"/>
      <c r="D745" s="10"/>
      <c r="E745" s="10"/>
      <c r="F745" s="10"/>
      <c r="G745" s="9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</row>
    <row r="746" spans="1:49" x14ac:dyDescent="0.25">
      <c r="A746" s="10"/>
      <c r="B746" s="10"/>
      <c r="C746" s="10"/>
      <c r="D746" s="10"/>
      <c r="E746" s="10"/>
      <c r="F746" s="10"/>
      <c r="G746" s="9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</row>
    <row r="747" spans="1:49" x14ac:dyDescent="0.25">
      <c r="A747" s="10"/>
      <c r="B747" s="10"/>
      <c r="C747" s="10"/>
      <c r="D747" s="10"/>
      <c r="E747" s="10"/>
      <c r="F747" s="10"/>
      <c r="G747" s="9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</row>
    <row r="748" spans="1:49" x14ac:dyDescent="0.25">
      <c r="A748" s="10"/>
      <c r="B748" s="10"/>
      <c r="C748" s="10"/>
      <c r="D748" s="10"/>
      <c r="E748" s="10"/>
      <c r="F748" s="10"/>
      <c r="G748" s="9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</row>
    <row r="749" spans="1:49" x14ac:dyDescent="0.25">
      <c r="A749" s="10"/>
      <c r="B749" s="10"/>
      <c r="C749" s="10"/>
      <c r="D749" s="10"/>
      <c r="E749" s="10"/>
      <c r="F749" s="10"/>
      <c r="G749" s="9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</row>
    <row r="750" spans="1:49" x14ac:dyDescent="0.25">
      <c r="A750" s="10"/>
      <c r="B750" s="10"/>
      <c r="C750" s="10"/>
      <c r="D750" s="10"/>
      <c r="E750" s="10"/>
      <c r="F750" s="10"/>
      <c r="G750" s="9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</row>
    <row r="751" spans="1:49" x14ac:dyDescent="0.25">
      <c r="A751" s="10"/>
      <c r="B751" s="10"/>
      <c r="C751" s="10"/>
      <c r="D751" s="10"/>
      <c r="E751" s="10"/>
      <c r="F751" s="10"/>
      <c r="G751" s="9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</row>
    <row r="752" spans="1:49" x14ac:dyDescent="0.25">
      <c r="A752" s="10"/>
      <c r="B752" s="10"/>
      <c r="C752" s="10"/>
      <c r="D752" s="10"/>
      <c r="E752" s="10"/>
      <c r="F752" s="10"/>
      <c r="G752" s="9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</row>
    <row r="753" spans="1:49" x14ac:dyDescent="0.25">
      <c r="A753" s="10"/>
      <c r="B753" s="10"/>
      <c r="C753" s="10"/>
      <c r="D753" s="10"/>
      <c r="E753" s="10"/>
      <c r="F753" s="10"/>
      <c r="G753" s="9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</row>
    <row r="754" spans="1:49" x14ac:dyDescent="0.25">
      <c r="A754" s="10"/>
      <c r="B754" s="10"/>
      <c r="C754" s="10"/>
      <c r="D754" s="10"/>
      <c r="E754" s="10"/>
      <c r="F754" s="10"/>
      <c r="G754" s="9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</row>
    <row r="755" spans="1:49" x14ac:dyDescent="0.25">
      <c r="A755" s="10"/>
      <c r="B755" s="10"/>
      <c r="C755" s="10"/>
      <c r="D755" s="10"/>
      <c r="E755" s="10"/>
      <c r="F755" s="10"/>
      <c r="G755" s="9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</row>
    <row r="756" spans="1:49" x14ac:dyDescent="0.25">
      <c r="A756" s="10"/>
      <c r="B756" s="10"/>
      <c r="C756" s="10"/>
      <c r="D756" s="10"/>
      <c r="E756" s="10"/>
      <c r="F756" s="10"/>
      <c r="G756" s="9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</row>
    <row r="757" spans="1:49" x14ac:dyDescent="0.25">
      <c r="A757" s="10"/>
      <c r="B757" s="10"/>
      <c r="C757" s="10"/>
      <c r="D757" s="10"/>
      <c r="E757" s="10"/>
      <c r="F757" s="10"/>
      <c r="G757" s="9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</row>
    <row r="758" spans="1:49" x14ac:dyDescent="0.25">
      <c r="A758" s="10"/>
      <c r="B758" s="10"/>
      <c r="C758" s="10"/>
      <c r="D758" s="10"/>
      <c r="E758" s="10"/>
      <c r="F758" s="10"/>
      <c r="G758" s="9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</row>
    <row r="759" spans="1:49" x14ac:dyDescent="0.25">
      <c r="A759" s="10"/>
      <c r="B759" s="10"/>
      <c r="C759" s="10"/>
      <c r="D759" s="10"/>
      <c r="E759" s="10"/>
      <c r="F759" s="10"/>
      <c r="G759" s="9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</row>
    <row r="760" spans="1:49" x14ac:dyDescent="0.25">
      <c r="A760" s="10"/>
      <c r="B760" s="10"/>
      <c r="C760" s="10"/>
      <c r="D760" s="10"/>
      <c r="E760" s="10"/>
      <c r="F760" s="10"/>
      <c r="G760" s="9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</row>
    <row r="761" spans="1:49" x14ac:dyDescent="0.25">
      <c r="A761" s="10"/>
      <c r="B761" s="10"/>
      <c r="C761" s="10"/>
      <c r="D761" s="10"/>
      <c r="E761" s="10"/>
      <c r="F761" s="10"/>
      <c r="G761" s="9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</row>
    <row r="762" spans="1:49" x14ac:dyDescent="0.25">
      <c r="A762" s="10"/>
      <c r="B762" s="10"/>
      <c r="C762" s="10"/>
      <c r="D762" s="10"/>
      <c r="E762" s="10"/>
      <c r="F762" s="10"/>
      <c r="G762" s="9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</row>
    <row r="763" spans="1:49" x14ac:dyDescent="0.25">
      <c r="A763" s="10"/>
      <c r="B763" s="10"/>
      <c r="C763" s="10"/>
      <c r="D763" s="10"/>
      <c r="E763" s="10"/>
      <c r="F763" s="10"/>
      <c r="G763" s="9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</row>
    <row r="764" spans="1:49" x14ac:dyDescent="0.25">
      <c r="A764" s="10"/>
      <c r="B764" s="10"/>
      <c r="C764" s="10"/>
      <c r="D764" s="10"/>
      <c r="E764" s="10"/>
      <c r="F764" s="10"/>
      <c r="G764" s="9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</row>
    <row r="765" spans="1:49" x14ac:dyDescent="0.25">
      <c r="A765" s="10"/>
      <c r="B765" s="10"/>
      <c r="C765" s="10"/>
      <c r="D765" s="10"/>
      <c r="E765" s="10"/>
      <c r="F765" s="10"/>
      <c r="G765" s="9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</row>
    <row r="766" spans="1:49" x14ac:dyDescent="0.25">
      <c r="A766" s="10"/>
      <c r="B766" s="10"/>
      <c r="C766" s="10"/>
      <c r="D766" s="10"/>
      <c r="E766" s="10"/>
      <c r="F766" s="10"/>
      <c r="G766" s="9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</row>
    <row r="767" spans="1:49" x14ac:dyDescent="0.25">
      <c r="A767" s="10"/>
      <c r="B767" s="10"/>
      <c r="C767" s="10"/>
      <c r="D767" s="10"/>
      <c r="E767" s="10"/>
      <c r="F767" s="10"/>
      <c r="G767" s="9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</row>
    <row r="768" spans="1:49" x14ac:dyDescent="0.25">
      <c r="A768" s="10"/>
      <c r="B768" s="10"/>
      <c r="C768" s="10"/>
      <c r="D768" s="10"/>
      <c r="E768" s="10"/>
      <c r="F768" s="10"/>
      <c r="G768" s="9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</row>
    <row r="769" spans="1:49" x14ac:dyDescent="0.25">
      <c r="A769" s="10"/>
      <c r="B769" s="10"/>
      <c r="C769" s="10"/>
      <c r="D769" s="10"/>
      <c r="E769" s="10"/>
      <c r="F769" s="10"/>
      <c r="G769" s="9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</row>
    <row r="770" spans="1:49" x14ac:dyDescent="0.25">
      <c r="A770" s="10"/>
      <c r="B770" s="10"/>
      <c r="C770" s="10"/>
      <c r="D770" s="10"/>
      <c r="E770" s="10"/>
      <c r="F770" s="10"/>
      <c r="G770" s="9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</row>
    <row r="771" spans="1:49" x14ac:dyDescent="0.25">
      <c r="A771" s="10"/>
      <c r="B771" s="10"/>
      <c r="C771" s="10"/>
      <c r="D771" s="10"/>
      <c r="E771" s="10"/>
      <c r="F771" s="10"/>
      <c r="G771" s="9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</row>
    <row r="772" spans="1:49" x14ac:dyDescent="0.25">
      <c r="A772" s="10"/>
      <c r="B772" s="10"/>
      <c r="C772" s="10"/>
      <c r="D772" s="10"/>
      <c r="E772" s="10"/>
      <c r="F772" s="10"/>
      <c r="G772" s="9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</row>
    <row r="773" spans="1:49" x14ac:dyDescent="0.25">
      <c r="A773" s="10"/>
      <c r="B773" s="10"/>
      <c r="C773" s="10"/>
      <c r="D773" s="10"/>
      <c r="E773" s="10"/>
      <c r="F773" s="10"/>
      <c r="G773" s="9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</row>
    <row r="774" spans="1:49" x14ac:dyDescent="0.25">
      <c r="A774" s="10"/>
      <c r="B774" s="10"/>
      <c r="C774" s="10"/>
      <c r="D774" s="10"/>
      <c r="E774" s="10"/>
      <c r="F774" s="10"/>
      <c r="G774" s="9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</row>
    <row r="775" spans="1:49" x14ac:dyDescent="0.25">
      <c r="A775" s="10"/>
      <c r="B775" s="10"/>
      <c r="C775" s="10"/>
      <c r="D775" s="10"/>
      <c r="E775" s="10"/>
      <c r="F775" s="10"/>
      <c r="G775" s="9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</row>
    <row r="776" spans="1:49" x14ac:dyDescent="0.25">
      <c r="A776" s="10"/>
      <c r="B776" s="10"/>
      <c r="C776" s="10"/>
      <c r="D776" s="10"/>
      <c r="E776" s="10"/>
      <c r="F776" s="10"/>
      <c r="G776" s="9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</row>
    <row r="777" spans="1:49" x14ac:dyDescent="0.25">
      <c r="A777" s="10"/>
      <c r="B777" s="10"/>
      <c r="C777" s="10"/>
      <c r="D777" s="10"/>
      <c r="E777" s="10"/>
      <c r="F777" s="10"/>
      <c r="G777" s="9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</row>
    <row r="778" spans="1:49" x14ac:dyDescent="0.25">
      <c r="A778" s="10"/>
      <c r="B778" s="10"/>
      <c r="C778" s="10"/>
      <c r="D778" s="10"/>
      <c r="E778" s="10"/>
      <c r="F778" s="10"/>
      <c r="G778" s="9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</row>
    <row r="779" spans="1:49" x14ac:dyDescent="0.25">
      <c r="A779" s="10"/>
      <c r="B779" s="10"/>
      <c r="C779" s="10"/>
      <c r="D779" s="10"/>
      <c r="E779" s="10"/>
      <c r="F779" s="10"/>
      <c r="G779" s="9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</row>
    <row r="780" spans="1:49" x14ac:dyDescent="0.25">
      <c r="A780" s="10"/>
      <c r="B780" s="10"/>
      <c r="C780" s="10"/>
      <c r="D780" s="10"/>
      <c r="E780" s="10"/>
      <c r="F780" s="10"/>
      <c r="G780" s="9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</row>
    <row r="781" spans="1:49" x14ac:dyDescent="0.25">
      <c r="A781" s="10"/>
      <c r="B781" s="10"/>
      <c r="C781" s="10"/>
      <c r="D781" s="10"/>
      <c r="E781" s="10"/>
      <c r="F781" s="10"/>
      <c r="G781" s="9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</row>
    <row r="782" spans="1:49" x14ac:dyDescent="0.25">
      <c r="A782" s="10"/>
      <c r="B782" s="10"/>
      <c r="C782" s="10"/>
      <c r="D782" s="10"/>
      <c r="E782" s="10"/>
      <c r="F782" s="10"/>
      <c r="G782" s="9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</row>
    <row r="783" spans="1:49" x14ac:dyDescent="0.25">
      <c r="A783" s="10"/>
      <c r="B783" s="10"/>
      <c r="C783" s="10"/>
      <c r="D783" s="10"/>
      <c r="E783" s="10"/>
      <c r="F783" s="10"/>
      <c r="G783" s="9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</row>
    <row r="784" spans="1:49" x14ac:dyDescent="0.25">
      <c r="A784" s="10"/>
      <c r="B784" s="10"/>
      <c r="C784" s="10"/>
      <c r="D784" s="10"/>
      <c r="E784" s="10"/>
      <c r="F784" s="10"/>
      <c r="G784" s="9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</row>
    <row r="785" spans="1:49" x14ac:dyDescent="0.25">
      <c r="A785" s="10"/>
      <c r="B785" s="10"/>
      <c r="C785" s="10"/>
      <c r="D785" s="10"/>
      <c r="E785" s="10"/>
      <c r="F785" s="10"/>
      <c r="G785" s="9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</row>
    <row r="786" spans="1:49" x14ac:dyDescent="0.25">
      <c r="A786" s="10"/>
      <c r="B786" s="10"/>
      <c r="C786" s="10"/>
      <c r="D786" s="10"/>
      <c r="E786" s="10"/>
      <c r="F786" s="10"/>
      <c r="G786" s="9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</row>
    <row r="787" spans="1:49" x14ac:dyDescent="0.25">
      <c r="A787" s="10"/>
      <c r="B787" s="10"/>
      <c r="C787" s="10"/>
      <c r="D787" s="10"/>
      <c r="E787" s="10"/>
      <c r="F787" s="10"/>
      <c r="G787" s="9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</row>
    <row r="788" spans="1:49" x14ac:dyDescent="0.25">
      <c r="A788" s="10"/>
      <c r="B788" s="10"/>
      <c r="C788" s="10"/>
      <c r="D788" s="10"/>
      <c r="E788" s="10"/>
      <c r="F788" s="10"/>
      <c r="G788" s="9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</row>
    <row r="789" spans="1:49" x14ac:dyDescent="0.25">
      <c r="A789" s="10"/>
      <c r="B789" s="10"/>
      <c r="C789" s="10"/>
      <c r="D789" s="10"/>
      <c r="E789" s="10"/>
      <c r="F789" s="10"/>
      <c r="G789" s="9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</row>
    <row r="790" spans="1:49" x14ac:dyDescent="0.25">
      <c r="A790" s="10"/>
      <c r="B790" s="10"/>
      <c r="C790" s="10"/>
      <c r="D790" s="10"/>
      <c r="E790" s="10"/>
      <c r="F790" s="10"/>
      <c r="G790" s="9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</row>
    <row r="791" spans="1:49" x14ac:dyDescent="0.25">
      <c r="A791" s="10"/>
      <c r="B791" s="10"/>
      <c r="C791" s="10"/>
      <c r="D791" s="10"/>
      <c r="E791" s="10"/>
      <c r="F791" s="10"/>
      <c r="G791" s="9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</row>
    <row r="792" spans="1:49" x14ac:dyDescent="0.25">
      <c r="A792" s="10"/>
      <c r="B792" s="10"/>
      <c r="C792" s="10"/>
      <c r="D792" s="10"/>
      <c r="E792" s="10"/>
      <c r="F792" s="10"/>
      <c r="G792" s="9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</row>
    <row r="793" spans="1:49" x14ac:dyDescent="0.25">
      <c r="A793" s="10"/>
      <c r="B793" s="10"/>
      <c r="C793" s="10"/>
      <c r="D793" s="10"/>
      <c r="E793" s="10"/>
      <c r="F793" s="10"/>
      <c r="G793" s="9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</row>
    <row r="794" spans="1:49" x14ac:dyDescent="0.25">
      <c r="A794" s="10"/>
      <c r="B794" s="10"/>
      <c r="C794" s="10"/>
      <c r="D794" s="10"/>
      <c r="E794" s="10"/>
      <c r="F794" s="10"/>
      <c r="G794" s="9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</row>
    <row r="795" spans="1:49" x14ac:dyDescent="0.25">
      <c r="A795" s="10"/>
      <c r="B795" s="10"/>
      <c r="C795" s="10"/>
      <c r="D795" s="10"/>
      <c r="E795" s="10"/>
      <c r="F795" s="10"/>
      <c r="G795" s="9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</row>
    <row r="796" spans="1:49" x14ac:dyDescent="0.25">
      <c r="A796" s="10"/>
      <c r="B796" s="10"/>
      <c r="C796" s="10"/>
      <c r="D796" s="10"/>
      <c r="E796" s="10"/>
      <c r="F796" s="10"/>
      <c r="G796" s="9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</row>
    <row r="797" spans="1:49" x14ac:dyDescent="0.25">
      <c r="A797" s="10"/>
      <c r="B797" s="10"/>
      <c r="C797" s="10"/>
      <c r="D797" s="10"/>
      <c r="E797" s="10"/>
      <c r="F797" s="10"/>
      <c r="G797" s="9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</row>
    <row r="798" spans="1:49" x14ac:dyDescent="0.25">
      <c r="A798" s="10"/>
      <c r="B798" s="10"/>
      <c r="C798" s="10"/>
      <c r="D798" s="10"/>
      <c r="E798" s="10"/>
      <c r="F798" s="10"/>
      <c r="G798" s="9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</row>
    <row r="799" spans="1:49" x14ac:dyDescent="0.25">
      <c r="A799" s="10"/>
      <c r="B799" s="10"/>
      <c r="C799" s="10"/>
      <c r="D799" s="10"/>
      <c r="E799" s="10"/>
      <c r="F799" s="10"/>
      <c r="G799" s="9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</row>
    <row r="800" spans="1:49" x14ac:dyDescent="0.25">
      <c r="A800" s="10"/>
      <c r="B800" s="10"/>
      <c r="C800" s="10"/>
      <c r="D800" s="10"/>
      <c r="E800" s="10"/>
      <c r="F800" s="10"/>
      <c r="G800" s="9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</row>
    <row r="801" spans="1:49" x14ac:dyDescent="0.25">
      <c r="A801" s="10"/>
      <c r="B801" s="10"/>
      <c r="C801" s="10"/>
      <c r="D801" s="10"/>
      <c r="E801" s="10"/>
      <c r="F801" s="10"/>
      <c r="G801" s="9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</row>
    <row r="802" spans="1:49" x14ac:dyDescent="0.25">
      <c r="A802" s="10"/>
      <c r="B802" s="10"/>
      <c r="C802" s="10"/>
      <c r="D802" s="10"/>
      <c r="E802" s="10"/>
      <c r="F802" s="10"/>
      <c r="G802" s="9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</row>
    <row r="803" spans="1:49" x14ac:dyDescent="0.25">
      <c r="A803" s="10"/>
      <c r="B803" s="10"/>
      <c r="C803" s="10"/>
      <c r="D803" s="10"/>
      <c r="E803" s="10"/>
      <c r="F803" s="10"/>
      <c r="G803" s="9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</row>
    <row r="804" spans="1:49" x14ac:dyDescent="0.25">
      <c r="A804" s="10"/>
      <c r="B804" s="10"/>
      <c r="C804" s="10"/>
      <c r="D804" s="10"/>
      <c r="E804" s="10"/>
      <c r="F804" s="10"/>
      <c r="G804" s="9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</row>
    <row r="805" spans="1:49" x14ac:dyDescent="0.25">
      <c r="A805" s="10"/>
      <c r="B805" s="10"/>
      <c r="C805" s="10"/>
      <c r="D805" s="10"/>
      <c r="E805" s="10"/>
      <c r="F805" s="10"/>
      <c r="G805" s="9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</row>
    <row r="806" spans="1:49" x14ac:dyDescent="0.25">
      <c r="A806" s="10"/>
      <c r="B806" s="10"/>
      <c r="C806" s="10"/>
      <c r="D806" s="10"/>
      <c r="E806" s="10"/>
      <c r="F806" s="10"/>
      <c r="G806" s="9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</row>
    <row r="807" spans="1:49" x14ac:dyDescent="0.25">
      <c r="A807" s="10"/>
      <c r="B807" s="10"/>
      <c r="C807" s="10"/>
      <c r="D807" s="10"/>
      <c r="E807" s="10"/>
      <c r="F807" s="10"/>
      <c r="G807" s="9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</row>
    <row r="808" spans="1:49" x14ac:dyDescent="0.25">
      <c r="A808" s="10"/>
      <c r="B808" s="10"/>
      <c r="C808" s="10"/>
      <c r="D808" s="10"/>
      <c r="E808" s="10"/>
      <c r="F808" s="10"/>
      <c r="G808" s="9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</row>
    <row r="809" spans="1:49" x14ac:dyDescent="0.25">
      <c r="A809" s="10"/>
      <c r="B809" s="10"/>
      <c r="C809" s="10"/>
      <c r="D809" s="10"/>
      <c r="E809" s="10"/>
      <c r="F809" s="10"/>
      <c r="G809" s="9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</row>
    <row r="810" spans="1:49" x14ac:dyDescent="0.25">
      <c r="A810" s="10"/>
      <c r="B810" s="10"/>
      <c r="C810" s="10"/>
      <c r="D810" s="10"/>
      <c r="E810" s="10"/>
      <c r="F810" s="10"/>
      <c r="G810" s="9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</row>
    <row r="811" spans="1:49" x14ac:dyDescent="0.25">
      <c r="A811" s="10"/>
      <c r="B811" s="10"/>
      <c r="C811" s="10"/>
      <c r="D811" s="10"/>
      <c r="E811" s="10"/>
      <c r="F811" s="10"/>
      <c r="G811" s="9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</row>
    <row r="812" spans="1:49" x14ac:dyDescent="0.25">
      <c r="A812" s="10"/>
      <c r="B812" s="10"/>
      <c r="C812" s="10"/>
      <c r="D812" s="10"/>
      <c r="E812" s="10"/>
      <c r="F812" s="10"/>
      <c r="G812" s="9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</row>
    <row r="813" spans="1:49" x14ac:dyDescent="0.25">
      <c r="A813" s="10"/>
      <c r="B813" s="10"/>
      <c r="C813" s="10"/>
      <c r="D813" s="10"/>
      <c r="E813" s="10"/>
      <c r="F813" s="10"/>
      <c r="G813" s="9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</row>
    <row r="814" spans="1:49" x14ac:dyDescent="0.25">
      <c r="A814" s="10"/>
      <c r="B814" s="10"/>
      <c r="C814" s="10"/>
      <c r="D814" s="10"/>
      <c r="E814" s="10"/>
      <c r="F814" s="10"/>
      <c r="G814" s="9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</row>
    <row r="815" spans="1:49" x14ac:dyDescent="0.25">
      <c r="A815" s="10"/>
      <c r="B815" s="10"/>
      <c r="C815" s="10"/>
      <c r="D815" s="10"/>
      <c r="E815" s="10"/>
      <c r="F815" s="10"/>
      <c r="G815" s="9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</row>
    <row r="816" spans="1:49" x14ac:dyDescent="0.25">
      <c r="A816" s="10"/>
      <c r="B816" s="10"/>
      <c r="C816" s="10"/>
      <c r="D816" s="10"/>
      <c r="E816" s="10"/>
      <c r="F816" s="10"/>
      <c r="G816" s="9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</row>
    <row r="817" spans="1:49" x14ac:dyDescent="0.25">
      <c r="A817" s="10"/>
      <c r="B817" s="10"/>
      <c r="C817" s="10"/>
      <c r="D817" s="10"/>
      <c r="E817" s="10"/>
      <c r="F817" s="10"/>
      <c r="G817" s="9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</row>
    <row r="818" spans="1:49" x14ac:dyDescent="0.25">
      <c r="A818" s="10"/>
      <c r="B818" s="10"/>
      <c r="C818" s="10"/>
      <c r="D818" s="10"/>
      <c r="E818" s="10"/>
      <c r="F818" s="10"/>
      <c r="G818" s="9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</row>
    <row r="819" spans="1:49" x14ac:dyDescent="0.25">
      <c r="A819" s="10"/>
      <c r="B819" s="10"/>
      <c r="C819" s="10"/>
      <c r="D819" s="10"/>
      <c r="E819" s="10"/>
      <c r="F819" s="10"/>
      <c r="G819" s="9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</row>
    <row r="820" spans="1:49" x14ac:dyDescent="0.25">
      <c r="A820" s="10"/>
      <c r="B820" s="10"/>
      <c r="C820" s="10"/>
      <c r="D820" s="10"/>
      <c r="E820" s="10"/>
      <c r="F820" s="10"/>
      <c r="G820" s="9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</row>
    <row r="821" spans="1:49" x14ac:dyDescent="0.25">
      <c r="A821" s="10"/>
      <c r="B821" s="10"/>
      <c r="C821" s="10"/>
      <c r="D821" s="10"/>
      <c r="E821" s="10"/>
      <c r="F821" s="10"/>
      <c r="G821" s="9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</row>
    <row r="822" spans="1:49" x14ac:dyDescent="0.25">
      <c r="A822" s="10"/>
      <c r="B822" s="10"/>
      <c r="C822" s="10"/>
      <c r="D822" s="10"/>
      <c r="E822" s="10"/>
      <c r="F822" s="10"/>
      <c r="G822" s="9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</row>
    <row r="823" spans="1:49" x14ac:dyDescent="0.25">
      <c r="A823" s="10"/>
      <c r="B823" s="10"/>
      <c r="C823" s="10"/>
      <c r="D823" s="10"/>
      <c r="E823" s="10"/>
      <c r="F823" s="10"/>
      <c r="G823" s="9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</row>
    <row r="824" spans="1:49" x14ac:dyDescent="0.25">
      <c r="A824" s="10"/>
      <c r="B824" s="10"/>
      <c r="C824" s="10"/>
      <c r="D824" s="10"/>
      <c r="E824" s="10"/>
      <c r="F824" s="10"/>
      <c r="G824" s="9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</row>
    <row r="825" spans="1:49" x14ac:dyDescent="0.25">
      <c r="A825" s="10"/>
      <c r="B825" s="10"/>
      <c r="C825" s="10"/>
      <c r="D825" s="10"/>
      <c r="E825" s="10"/>
      <c r="F825" s="10"/>
      <c r="G825" s="9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</row>
    <row r="826" spans="1:49" x14ac:dyDescent="0.25">
      <c r="A826" s="10"/>
      <c r="B826" s="10"/>
      <c r="C826" s="10"/>
      <c r="D826" s="10"/>
      <c r="E826" s="10"/>
      <c r="F826" s="10"/>
      <c r="G826" s="9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</row>
    <row r="827" spans="1:49" x14ac:dyDescent="0.25">
      <c r="A827" s="10"/>
      <c r="B827" s="10"/>
      <c r="C827" s="10"/>
      <c r="D827" s="10"/>
      <c r="E827" s="10"/>
      <c r="F827" s="10"/>
      <c r="G827" s="9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</row>
    <row r="828" spans="1:49" x14ac:dyDescent="0.25">
      <c r="A828" s="10"/>
      <c r="B828" s="10"/>
      <c r="C828" s="10"/>
      <c r="D828" s="10"/>
      <c r="E828" s="10"/>
      <c r="F828" s="10"/>
      <c r="G828" s="9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</row>
    <row r="829" spans="1:49" x14ac:dyDescent="0.25">
      <c r="A829" s="10"/>
      <c r="B829" s="10"/>
      <c r="C829" s="10"/>
      <c r="D829" s="10"/>
      <c r="E829" s="10"/>
      <c r="F829" s="10"/>
      <c r="G829" s="9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</row>
    <row r="830" spans="1:49" x14ac:dyDescent="0.25">
      <c r="A830" s="10"/>
      <c r="B830" s="10"/>
      <c r="C830" s="10"/>
      <c r="D830" s="10"/>
      <c r="E830" s="10"/>
      <c r="F830" s="10"/>
      <c r="G830" s="9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</row>
    <row r="831" spans="1:49" x14ac:dyDescent="0.25">
      <c r="A831" s="10"/>
      <c r="B831" s="10"/>
      <c r="C831" s="10"/>
      <c r="D831" s="10"/>
      <c r="E831" s="10"/>
      <c r="F831" s="10"/>
      <c r="G831" s="9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</row>
    <row r="832" spans="1:49" x14ac:dyDescent="0.25">
      <c r="A832" s="10"/>
      <c r="B832" s="10"/>
      <c r="C832" s="10"/>
      <c r="D832" s="10"/>
      <c r="E832" s="10"/>
      <c r="F832" s="10"/>
      <c r="G832" s="9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</row>
    <row r="833" spans="1:49" x14ac:dyDescent="0.25">
      <c r="A833" s="10"/>
      <c r="B833" s="10"/>
      <c r="C833" s="10"/>
      <c r="D833" s="10"/>
      <c r="E833" s="10"/>
      <c r="F833" s="10"/>
      <c r="G833" s="9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</row>
    <row r="834" spans="1:49" x14ac:dyDescent="0.25">
      <c r="A834" s="10"/>
      <c r="B834" s="10"/>
      <c r="C834" s="10"/>
      <c r="D834" s="10"/>
      <c r="E834" s="10"/>
      <c r="F834" s="10"/>
      <c r="G834" s="9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</row>
    <row r="835" spans="1:49" x14ac:dyDescent="0.25">
      <c r="A835" s="10"/>
      <c r="B835" s="10"/>
      <c r="C835" s="10"/>
      <c r="D835" s="10"/>
      <c r="E835" s="10"/>
      <c r="F835" s="10"/>
      <c r="G835" s="9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</row>
    <row r="836" spans="1:49" x14ac:dyDescent="0.25">
      <c r="A836" s="10"/>
      <c r="B836" s="10"/>
      <c r="C836" s="10"/>
      <c r="D836" s="10"/>
      <c r="E836" s="10"/>
      <c r="F836" s="10"/>
      <c r="G836" s="9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</row>
    <row r="837" spans="1:49" x14ac:dyDescent="0.25">
      <c r="A837" s="10"/>
      <c r="B837" s="10"/>
      <c r="C837" s="10"/>
      <c r="D837" s="10"/>
      <c r="E837" s="10"/>
      <c r="F837" s="10"/>
      <c r="G837" s="9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</row>
    <row r="838" spans="1:49" x14ac:dyDescent="0.25">
      <c r="A838" s="10"/>
      <c r="B838" s="10"/>
      <c r="C838" s="10"/>
      <c r="D838" s="10"/>
      <c r="E838" s="10"/>
      <c r="F838" s="10"/>
      <c r="G838" s="9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</row>
    <row r="839" spans="1:49" x14ac:dyDescent="0.25">
      <c r="A839" s="10"/>
      <c r="B839" s="10"/>
      <c r="C839" s="10"/>
      <c r="D839" s="10"/>
      <c r="E839" s="10"/>
      <c r="F839" s="10"/>
      <c r="G839" s="9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</row>
    <row r="840" spans="1:49" x14ac:dyDescent="0.25">
      <c r="A840" s="10"/>
      <c r="B840" s="10"/>
      <c r="C840" s="10"/>
      <c r="D840" s="10"/>
      <c r="E840" s="10"/>
      <c r="F840" s="10"/>
      <c r="G840" s="9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</row>
    <row r="841" spans="1:49" x14ac:dyDescent="0.25">
      <c r="A841" s="10"/>
      <c r="B841" s="10"/>
      <c r="C841" s="10"/>
      <c r="D841" s="10"/>
      <c r="E841" s="10"/>
      <c r="F841" s="10"/>
      <c r="G841" s="9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</row>
    <row r="842" spans="1:49" x14ac:dyDescent="0.25">
      <c r="A842" s="10"/>
      <c r="B842" s="10"/>
      <c r="C842" s="10"/>
      <c r="D842" s="10"/>
      <c r="E842" s="10"/>
      <c r="F842" s="10"/>
      <c r="G842" s="9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</row>
    <row r="843" spans="1:49" x14ac:dyDescent="0.25">
      <c r="A843" s="10"/>
      <c r="B843" s="10"/>
      <c r="C843" s="10"/>
      <c r="D843" s="10"/>
      <c r="E843" s="10"/>
      <c r="F843" s="10"/>
      <c r="G843" s="9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</row>
    <row r="844" spans="1:49" x14ac:dyDescent="0.25">
      <c r="A844" s="10"/>
      <c r="B844" s="10"/>
      <c r="C844" s="10"/>
      <c r="D844" s="10"/>
      <c r="E844" s="10"/>
      <c r="F844" s="10"/>
      <c r="G844" s="9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</row>
    <row r="845" spans="1:49" x14ac:dyDescent="0.25">
      <c r="A845" s="10"/>
      <c r="B845" s="10"/>
      <c r="C845" s="10"/>
      <c r="D845" s="10"/>
      <c r="E845" s="10"/>
      <c r="F845" s="10"/>
      <c r="G845" s="9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</row>
    <row r="846" spans="1:49" x14ac:dyDescent="0.25">
      <c r="A846" s="10"/>
      <c r="B846" s="10"/>
      <c r="C846" s="10"/>
      <c r="D846" s="10"/>
      <c r="E846" s="10"/>
      <c r="F846" s="10"/>
      <c r="G846" s="9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</row>
    <row r="847" spans="1:49" x14ac:dyDescent="0.25">
      <c r="A847" s="10"/>
      <c r="B847" s="10"/>
      <c r="C847" s="10"/>
      <c r="D847" s="10"/>
      <c r="E847" s="10"/>
      <c r="F847" s="10"/>
      <c r="G847" s="9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</row>
    <row r="848" spans="1:49" x14ac:dyDescent="0.25">
      <c r="A848" s="10"/>
      <c r="B848" s="10"/>
      <c r="C848" s="10"/>
      <c r="D848" s="10"/>
      <c r="E848" s="10"/>
      <c r="F848" s="10"/>
      <c r="G848" s="9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</row>
    <row r="849" spans="1:49" x14ac:dyDescent="0.25">
      <c r="A849" s="10"/>
      <c r="B849" s="10"/>
      <c r="C849" s="10"/>
      <c r="D849" s="10"/>
      <c r="E849" s="10"/>
      <c r="F849" s="10"/>
      <c r="G849" s="9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</row>
    <row r="850" spans="1:49" x14ac:dyDescent="0.25">
      <c r="A850" s="10"/>
      <c r="B850" s="10"/>
      <c r="C850" s="10"/>
      <c r="D850" s="10"/>
      <c r="E850" s="10"/>
      <c r="F850" s="10"/>
      <c r="G850" s="9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</row>
    <row r="851" spans="1:49" x14ac:dyDescent="0.25">
      <c r="A851" s="10"/>
      <c r="B851" s="10"/>
      <c r="C851" s="10"/>
      <c r="D851" s="10"/>
      <c r="E851" s="10"/>
      <c r="F851" s="10"/>
      <c r="G851" s="9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</row>
    <row r="852" spans="1:49" x14ac:dyDescent="0.25">
      <c r="A852" s="10"/>
      <c r="B852" s="10"/>
      <c r="C852" s="10"/>
      <c r="D852" s="10"/>
      <c r="E852" s="10"/>
      <c r="F852" s="10"/>
      <c r="G852" s="9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</row>
    <row r="853" spans="1:49" x14ac:dyDescent="0.25">
      <c r="A853" s="10"/>
      <c r="B853" s="10"/>
      <c r="C853" s="10"/>
      <c r="D853" s="10"/>
      <c r="E853" s="10"/>
      <c r="F853" s="10"/>
      <c r="G853" s="9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</row>
    <row r="854" spans="1:49" x14ac:dyDescent="0.25">
      <c r="A854" s="10"/>
      <c r="B854" s="10"/>
      <c r="C854" s="10"/>
      <c r="D854" s="10"/>
      <c r="E854" s="10"/>
      <c r="F854" s="10"/>
      <c r="G854" s="9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</row>
    <row r="855" spans="1:49" x14ac:dyDescent="0.25">
      <c r="A855" s="10"/>
      <c r="B855" s="10"/>
      <c r="C855" s="10"/>
      <c r="D855" s="10"/>
      <c r="E855" s="10"/>
      <c r="F855" s="10"/>
      <c r="G855" s="9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</row>
    <row r="856" spans="1:49" x14ac:dyDescent="0.25">
      <c r="A856" s="10"/>
      <c r="B856" s="10"/>
      <c r="C856" s="10"/>
      <c r="D856" s="10"/>
      <c r="E856" s="10"/>
      <c r="F856" s="10"/>
      <c r="G856" s="9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</row>
    <row r="857" spans="1:49" x14ac:dyDescent="0.25">
      <c r="A857" s="10"/>
      <c r="B857" s="10"/>
      <c r="C857" s="10"/>
      <c r="D857" s="10"/>
      <c r="E857" s="10"/>
      <c r="F857" s="10"/>
      <c r="G857" s="9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</row>
    <row r="858" spans="1:49" x14ac:dyDescent="0.25">
      <c r="A858" s="10"/>
      <c r="B858" s="10"/>
      <c r="C858" s="10"/>
      <c r="D858" s="10"/>
      <c r="E858" s="10"/>
      <c r="F858" s="10"/>
      <c r="G858" s="9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</row>
    <row r="859" spans="1:49" x14ac:dyDescent="0.25">
      <c r="A859" s="10"/>
      <c r="B859" s="10"/>
      <c r="C859" s="10"/>
      <c r="D859" s="10"/>
      <c r="E859" s="10"/>
      <c r="F859" s="10"/>
      <c r="G859" s="9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</row>
    <row r="860" spans="1:49" x14ac:dyDescent="0.25">
      <c r="A860" s="10"/>
      <c r="B860" s="10"/>
      <c r="C860" s="10"/>
      <c r="D860" s="10"/>
      <c r="E860" s="10"/>
      <c r="F860" s="10"/>
      <c r="G860" s="9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</row>
    <row r="861" spans="1:49" x14ac:dyDescent="0.25">
      <c r="A861" s="10"/>
      <c r="B861" s="10"/>
      <c r="C861" s="10"/>
      <c r="D861" s="10"/>
      <c r="E861" s="10"/>
      <c r="F861" s="10"/>
      <c r="G861" s="9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</row>
    <row r="862" spans="1:49" x14ac:dyDescent="0.25">
      <c r="A862" s="10"/>
      <c r="B862" s="10"/>
      <c r="C862" s="10"/>
      <c r="D862" s="10"/>
      <c r="E862" s="10"/>
      <c r="F862" s="10"/>
      <c r="G862" s="9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</row>
    <row r="863" spans="1:49" x14ac:dyDescent="0.25">
      <c r="A863" s="10"/>
      <c r="B863" s="10"/>
      <c r="C863" s="10"/>
      <c r="D863" s="10"/>
      <c r="E863" s="10"/>
      <c r="F863" s="10"/>
      <c r="G863" s="9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</row>
    <row r="864" spans="1:49" x14ac:dyDescent="0.25">
      <c r="A864" s="10"/>
      <c r="B864" s="10"/>
      <c r="C864" s="10"/>
      <c r="D864" s="10"/>
      <c r="E864" s="10"/>
      <c r="F864" s="10"/>
      <c r="G864" s="9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</row>
    <row r="865" spans="1:49" x14ac:dyDescent="0.25">
      <c r="A865" s="10"/>
      <c r="B865" s="10"/>
      <c r="C865" s="10"/>
      <c r="D865" s="10"/>
      <c r="E865" s="10"/>
      <c r="F865" s="10"/>
      <c r="G865" s="9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</row>
    <row r="866" spans="1:49" x14ac:dyDescent="0.25">
      <c r="A866" s="10"/>
      <c r="B866" s="10"/>
      <c r="C866" s="10"/>
      <c r="D866" s="10"/>
      <c r="E866" s="10"/>
      <c r="F866" s="10"/>
      <c r="G866" s="9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</row>
    <row r="867" spans="1:49" x14ac:dyDescent="0.25">
      <c r="A867" s="10"/>
      <c r="B867" s="10"/>
      <c r="C867" s="10"/>
      <c r="D867" s="10"/>
      <c r="E867" s="10"/>
      <c r="F867" s="10"/>
      <c r="G867" s="9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</row>
    <row r="868" spans="1:49" x14ac:dyDescent="0.25">
      <c r="A868" s="10"/>
      <c r="B868" s="10"/>
      <c r="C868" s="10"/>
      <c r="D868" s="10"/>
      <c r="E868" s="10"/>
      <c r="F868" s="10"/>
      <c r="G868" s="9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</row>
    <row r="869" spans="1:49" x14ac:dyDescent="0.25">
      <c r="A869" s="10"/>
      <c r="B869" s="10"/>
      <c r="C869" s="10"/>
      <c r="D869" s="10"/>
      <c r="E869" s="10"/>
      <c r="F869" s="10"/>
      <c r="G869" s="9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</row>
    <row r="870" spans="1:49" x14ac:dyDescent="0.25">
      <c r="A870" s="10"/>
      <c r="B870" s="10"/>
      <c r="C870" s="10"/>
      <c r="D870" s="10"/>
      <c r="E870" s="10"/>
      <c r="F870" s="10"/>
      <c r="G870" s="9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</row>
    <row r="871" spans="1:49" x14ac:dyDescent="0.25">
      <c r="A871" s="10"/>
      <c r="B871" s="10"/>
      <c r="C871" s="10"/>
      <c r="D871" s="10"/>
      <c r="E871" s="10"/>
      <c r="F871" s="10"/>
      <c r="G871" s="9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</row>
    <row r="872" spans="1:49" x14ac:dyDescent="0.25">
      <c r="A872" s="10"/>
      <c r="B872" s="10"/>
      <c r="C872" s="10"/>
      <c r="D872" s="10"/>
      <c r="E872" s="10"/>
      <c r="F872" s="10"/>
      <c r="G872" s="9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</row>
    <row r="873" spans="1:49" x14ac:dyDescent="0.25">
      <c r="A873" s="10"/>
      <c r="B873" s="10"/>
      <c r="C873" s="10"/>
      <c r="D873" s="10"/>
      <c r="E873" s="10"/>
      <c r="F873" s="10"/>
      <c r="G873" s="9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</row>
  </sheetData>
  <dataConsolidate>
    <dataRefs count="1">
      <dataRef ref="F2:AW10000" sheet="DATA"/>
    </dataRefs>
  </dataConsolid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"/>
  <sheetViews>
    <sheetView workbookViewId="0">
      <selection activeCell="A2" sqref="A2:ZZ100000"/>
    </sheetView>
  </sheetViews>
  <sheetFormatPr defaultRowHeight="15" x14ac:dyDescent="0.25"/>
  <cols>
    <col min="1" max="12" width="9.140625" style="10"/>
  </cols>
  <sheetData>
    <row r="1" spans="1:12" x14ac:dyDescent="0.25">
      <c r="A1" s="10" t="s">
        <v>2</v>
      </c>
      <c r="B1" s="10" t="s">
        <v>0</v>
      </c>
      <c r="C1" s="10" t="s">
        <v>1</v>
      </c>
      <c r="D1" s="10" t="s">
        <v>8</v>
      </c>
      <c r="E1" s="10" t="s">
        <v>9</v>
      </c>
      <c r="F1" s="10" t="s">
        <v>10</v>
      </c>
      <c r="G1" s="10" t="s">
        <v>11</v>
      </c>
      <c r="H1" s="10" t="s">
        <v>3</v>
      </c>
      <c r="I1" s="10" t="s">
        <v>4</v>
      </c>
      <c r="J1" s="10" t="s">
        <v>5</v>
      </c>
      <c r="K1" s="10" t="s">
        <v>7</v>
      </c>
      <c r="L1" s="10" t="s">
        <v>6</v>
      </c>
    </row>
  </sheetData>
  <dataConsolidate topLabels="1">
    <dataRefs count="1">
      <dataRef ref="A1:NTP1000000" sheet="DATA"/>
    </dataRefs>
  </dataConsolid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01"/>
  <sheetViews>
    <sheetView workbookViewId="0">
      <selection activeCell="A2" sqref="A2:A201"/>
    </sheetView>
  </sheetViews>
  <sheetFormatPr defaultColWidth="0" defaultRowHeight="15" zeroHeight="1" x14ac:dyDescent="0.25"/>
  <cols>
    <col min="1" max="1" width="15.85546875" style="6" customWidth="1"/>
    <col min="2" max="6" width="9.140625" style="3" customWidth="1"/>
    <col min="7" max="8" width="11.7109375" style="3" bestFit="1" customWidth="1"/>
    <col min="9" max="9" width="12" style="3" bestFit="1" customWidth="1"/>
    <col min="10" max="13" width="9.140625" style="3" customWidth="1"/>
    <col min="14" max="16384" width="9.140625" style="3" hidden="1"/>
  </cols>
  <sheetData>
    <row r="1" spans="1:13" x14ac:dyDescent="0.25">
      <c r="A1" s="2" t="s">
        <v>2</v>
      </c>
      <c r="B1" s="2" t="s">
        <v>12</v>
      </c>
      <c r="C1" s="2" t="s">
        <v>0</v>
      </c>
      <c r="D1" s="2" t="s">
        <v>1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3</v>
      </c>
      <c r="J1" s="2" t="s">
        <v>4</v>
      </c>
      <c r="K1" s="2" t="s">
        <v>5</v>
      </c>
      <c r="L1" s="2" t="s">
        <v>7</v>
      </c>
      <c r="M1" s="2" t="s">
        <v>6</v>
      </c>
    </row>
    <row r="2" spans="1:13" x14ac:dyDescent="0.25">
      <c r="A2" s="12"/>
      <c r="B2" s="4">
        <v>1</v>
      </c>
      <c r="C2" s="4" t="str">
        <f>IF(ISBLANK(A2)," ",VLOOKUP((A2),SONUC!$A$2:$L$10000,2,FALSE))</f>
        <v xml:space="preserve"> </v>
      </c>
      <c r="D2" s="4" t="str">
        <f>IF(ISBLANK(A2)," ",VLOOKUP((A2),SONUC!$A$2:$L$10000,3,FALSE))</f>
        <v xml:space="preserve"> </v>
      </c>
      <c r="E2" s="4" t="str">
        <f>IF(ISBLANK(A2)," ",VLOOKUP((A2),SONUC!$A$2:$L$10000,4,FALSE))</f>
        <v xml:space="preserve"> </v>
      </c>
      <c r="F2" s="4" t="str">
        <f>IF(ISBLANK(A2)," ",VLOOKUP((A2),SONUC!$A$2:$L$10000,5,FALSE))</f>
        <v xml:space="preserve"> </v>
      </c>
      <c r="G2" s="4" t="str">
        <f>IF(ISBLANK(A2)," ",VLOOKUP((A2),SONUC!$A$2:$L$10000,6,FALSE))</f>
        <v xml:space="preserve"> </v>
      </c>
      <c r="H2" s="4" t="str">
        <f>IF(ISBLANK(A2)," ",VLOOKUP((A2),SONUC!$A$2:$L$10000,7,FALSE))</f>
        <v xml:space="preserve"> </v>
      </c>
      <c r="I2" s="4" t="str">
        <f>IF(ISBLANK(A2)," ",VLOOKUP((A2),SONUC!$A$2:$L$10000,8,FALSE))</f>
        <v xml:space="preserve"> </v>
      </c>
      <c r="J2" s="4" t="str">
        <f>IF(ISBLANK(A2)," ",VLOOKUP((A2),SONUC!$A$2:$L$10000,9,FALSE))</f>
        <v xml:space="preserve"> </v>
      </c>
      <c r="K2" s="4" t="str">
        <f>IF(ISBLANK(A2)," ",VLOOKUP((A2),SONUC!$A$2:$L$10000,10,FALSE))</f>
        <v xml:space="preserve"> </v>
      </c>
      <c r="L2" s="4" t="str">
        <f>IF(ISBLANK(A2)," ",VLOOKUP((A2),SONUC!$A$2:$L$10000,11,FALSE))</f>
        <v xml:space="preserve"> </v>
      </c>
      <c r="M2" s="4" t="str">
        <f>IF(ISBLANK(A2)," ",VLOOKUP((A2),SONUC!$A$2:$L$10000,12,FALSE))</f>
        <v xml:space="preserve"> </v>
      </c>
    </row>
    <row r="3" spans="1:13" x14ac:dyDescent="0.25">
      <c r="A3" s="12"/>
      <c r="B3" s="4">
        <v>2</v>
      </c>
      <c r="C3" s="4" t="str">
        <f>IF(ISBLANK(A3)," ",VLOOKUP((A3),SONUC!$A$2:$L$10000,2,FALSE))</f>
        <v xml:space="preserve"> </v>
      </c>
      <c r="D3" s="4" t="str">
        <f>IF(ISBLANK(A3)," ",VLOOKUP((A3),SONUC!$A$2:$L$10000,3,FALSE))</f>
        <v xml:space="preserve"> </v>
      </c>
      <c r="E3" s="4" t="str">
        <f>IF(ISBLANK(A3)," ",VLOOKUP((A3),SONUC!$A$2:$L$10000,4,FALSE))</f>
        <v xml:space="preserve"> </v>
      </c>
      <c r="F3" s="4" t="str">
        <f>IF(ISBLANK(A3)," ",VLOOKUP((A3),SONUC!$A$2:$L$10000,5,FALSE))</f>
        <v xml:space="preserve"> </v>
      </c>
      <c r="G3" s="4" t="str">
        <f>IF(ISBLANK(A3)," ",VLOOKUP((A3),SONUC!$A$2:$L$10000,6,FALSE))</f>
        <v xml:space="preserve"> </v>
      </c>
      <c r="H3" s="4" t="str">
        <f>IF(ISBLANK(A3)," ",VLOOKUP((A3),SONUC!$A$2:$L$10000,7,FALSE))</f>
        <v xml:space="preserve"> </v>
      </c>
      <c r="I3" s="4" t="str">
        <f>IF(ISBLANK(A3)," ",VLOOKUP((A3),SONUC!$A$2:$L$10000,8,FALSE))</f>
        <v xml:space="preserve"> </v>
      </c>
      <c r="J3" s="4" t="str">
        <f>IF(ISBLANK(A3)," ",VLOOKUP((A3),SONUC!$A$2:$L$10000,9,FALSE))</f>
        <v xml:space="preserve"> </v>
      </c>
      <c r="K3" s="4" t="str">
        <f>IF(ISBLANK(A3)," ",VLOOKUP((A3),SONUC!$A$2:$L$10000,10,FALSE))</f>
        <v xml:space="preserve"> </v>
      </c>
      <c r="L3" s="4" t="str">
        <f>IF(ISBLANK(A3)," ",VLOOKUP((A3),SONUC!$A$2:$L$10000,11,FALSE))</f>
        <v xml:space="preserve"> </v>
      </c>
      <c r="M3" s="4" t="str">
        <f>IF(ISBLANK(A3)," ",VLOOKUP((A3),SONUC!$A$2:$L$10000,12,FALSE))</f>
        <v xml:space="preserve"> </v>
      </c>
    </row>
    <row r="4" spans="1:13" x14ac:dyDescent="0.25">
      <c r="A4" s="12"/>
      <c r="B4" s="4">
        <v>3</v>
      </c>
      <c r="C4" s="4" t="str">
        <f>IF(ISBLANK(A4)," ",VLOOKUP((A4),SONUC!$A$2:$L$10000,2,FALSE))</f>
        <v xml:space="preserve"> </v>
      </c>
      <c r="D4" s="4" t="str">
        <f>IF(ISBLANK(A4)," ",VLOOKUP((A4),SONUC!$A$2:$L$10000,3,FALSE))</f>
        <v xml:space="preserve"> </v>
      </c>
      <c r="E4" s="4" t="str">
        <f>IF(ISBLANK(A4)," ",VLOOKUP((A4),SONUC!$A$2:$L$10000,4,FALSE))</f>
        <v xml:space="preserve"> </v>
      </c>
      <c r="F4" s="4" t="str">
        <f>IF(ISBLANK(A4)," ",VLOOKUP((A4),SONUC!$A$2:$L$10000,5,FALSE))</f>
        <v xml:space="preserve"> </v>
      </c>
      <c r="G4" s="4" t="str">
        <f>IF(ISBLANK(A4)," ",VLOOKUP((A4),SONUC!$A$2:$L$10000,6,FALSE))</f>
        <v xml:space="preserve"> </v>
      </c>
      <c r="H4" s="4" t="str">
        <f>IF(ISBLANK(A4)," ",VLOOKUP((A4),SONUC!$A$2:$L$10000,7,FALSE))</f>
        <v xml:space="preserve"> </v>
      </c>
      <c r="I4" s="4" t="str">
        <f>IF(ISBLANK(A4)," ",VLOOKUP((A4),SONUC!$A$2:$L$10000,8,FALSE))</f>
        <v xml:space="preserve"> </v>
      </c>
      <c r="J4" s="4" t="str">
        <f>IF(ISBLANK(A4)," ",VLOOKUP((A4),SONUC!$A$2:$L$10000,9,FALSE))</f>
        <v xml:space="preserve"> </v>
      </c>
      <c r="K4" s="4" t="str">
        <f>IF(ISBLANK(A4)," ",VLOOKUP((A4),SONUC!$A$2:$L$10000,10,FALSE))</f>
        <v xml:space="preserve"> </v>
      </c>
      <c r="L4" s="4" t="str">
        <f>IF(ISBLANK(A4)," ",VLOOKUP((A4),SONUC!$A$2:$L$10000,11,FALSE))</f>
        <v xml:space="preserve"> </v>
      </c>
      <c r="M4" s="4" t="str">
        <f>IF(ISBLANK(A4)," ",VLOOKUP((A4),SONUC!$A$2:$L$10000,12,FALSE))</f>
        <v xml:space="preserve"> </v>
      </c>
    </row>
    <row r="5" spans="1:13" x14ac:dyDescent="0.25">
      <c r="A5" s="12"/>
      <c r="B5" s="4">
        <v>4</v>
      </c>
      <c r="C5" s="4" t="str">
        <f>IF(ISBLANK(A5)," ",VLOOKUP((A5),SONUC!$A$2:$L$10000,2,FALSE))</f>
        <v xml:space="preserve"> </v>
      </c>
      <c r="D5" s="4" t="str">
        <f>IF(ISBLANK(A5)," ",VLOOKUP((A5),SONUC!$A$2:$L$10000,3,FALSE))</f>
        <v xml:space="preserve"> </v>
      </c>
      <c r="E5" s="4" t="str">
        <f>IF(ISBLANK(A5)," ",VLOOKUP((A5),SONUC!$A$2:$L$10000,4,FALSE))</f>
        <v xml:space="preserve"> </v>
      </c>
      <c r="F5" s="4" t="str">
        <f>IF(ISBLANK(A5)," ",VLOOKUP((A5),SONUC!$A$2:$L$10000,5,FALSE))</f>
        <v xml:space="preserve"> </v>
      </c>
      <c r="G5" s="4" t="str">
        <f>IF(ISBLANK(A5)," ",VLOOKUP((A5),SONUC!$A$2:$L$10000,6,FALSE))</f>
        <v xml:space="preserve"> </v>
      </c>
      <c r="H5" s="4" t="str">
        <f>IF(ISBLANK(A5)," ",VLOOKUP((A5),SONUC!$A$2:$L$10000,7,FALSE))</f>
        <v xml:space="preserve"> </v>
      </c>
      <c r="I5" s="4" t="str">
        <f>IF(ISBLANK(A5)," ",VLOOKUP((A5),SONUC!$A$2:$L$10000,8,FALSE))</f>
        <v xml:space="preserve"> </v>
      </c>
      <c r="J5" s="4" t="str">
        <f>IF(ISBLANK(A5)," ",VLOOKUP((A5),SONUC!$A$2:$L$10000,9,FALSE))</f>
        <v xml:space="preserve"> </v>
      </c>
      <c r="K5" s="4" t="str">
        <f>IF(ISBLANK(A5)," ",VLOOKUP((A5),SONUC!$A$2:$L$10000,10,FALSE))</f>
        <v xml:space="preserve"> </v>
      </c>
      <c r="L5" s="4" t="str">
        <f>IF(ISBLANK(A5)," ",VLOOKUP((A5),SONUC!$A$2:$L$10000,11,FALSE))</f>
        <v xml:space="preserve"> </v>
      </c>
      <c r="M5" s="4" t="str">
        <f>IF(ISBLANK(A5)," ",VLOOKUP((A5),SONUC!$A$2:$L$10000,12,FALSE))</f>
        <v xml:space="preserve"> </v>
      </c>
    </row>
    <row r="6" spans="1:13" x14ac:dyDescent="0.25">
      <c r="A6" s="12"/>
      <c r="B6" s="4">
        <v>5</v>
      </c>
      <c r="C6" s="4" t="str">
        <f>IF(ISBLANK(A6)," ",VLOOKUP((A6),SONUC!$A$2:$L$10000,2,FALSE))</f>
        <v xml:space="preserve"> </v>
      </c>
      <c r="D6" s="4" t="str">
        <f>IF(ISBLANK(A6)," ",VLOOKUP((A6),SONUC!$A$2:$L$10000,3,FALSE))</f>
        <v xml:space="preserve"> </v>
      </c>
      <c r="E6" s="4" t="str">
        <f>IF(ISBLANK(A6)," ",VLOOKUP((A6),SONUC!$A$2:$L$10000,4,FALSE))</f>
        <v xml:space="preserve"> </v>
      </c>
      <c r="F6" s="4" t="str">
        <f>IF(ISBLANK(A6)," ",VLOOKUP((A6),SONUC!$A$2:$L$10000,5,FALSE))</f>
        <v xml:space="preserve"> </v>
      </c>
      <c r="G6" s="4" t="str">
        <f>IF(ISBLANK(A6)," ",VLOOKUP((A6),SONUC!$A$2:$L$10000,6,FALSE))</f>
        <v xml:space="preserve"> </v>
      </c>
      <c r="H6" s="4" t="str">
        <f>IF(ISBLANK(A6)," ",VLOOKUP((A6),SONUC!$A$2:$L$10000,7,FALSE))</f>
        <v xml:space="preserve"> </v>
      </c>
      <c r="I6" s="4" t="str">
        <f>IF(ISBLANK(A6)," ",VLOOKUP((A6),SONUC!$A$2:$L$10000,8,FALSE))</f>
        <v xml:space="preserve"> </v>
      </c>
      <c r="J6" s="4" t="str">
        <f>IF(ISBLANK(A6)," ",VLOOKUP((A6),SONUC!$A$2:$L$10000,9,FALSE))</f>
        <v xml:space="preserve"> </v>
      </c>
      <c r="K6" s="4" t="str">
        <f>IF(ISBLANK(A6)," ",VLOOKUP((A6),SONUC!$A$2:$L$10000,10,FALSE))</f>
        <v xml:space="preserve"> </v>
      </c>
      <c r="L6" s="4" t="str">
        <f>IF(ISBLANK(A6)," ",VLOOKUP((A6),SONUC!$A$2:$L$10000,11,FALSE))</f>
        <v xml:space="preserve"> </v>
      </c>
      <c r="M6" s="4" t="str">
        <f>IF(ISBLANK(A6)," ",VLOOKUP((A6),SONUC!$A$2:$L$10000,12,FALSE))</f>
        <v xml:space="preserve"> </v>
      </c>
    </row>
    <row r="7" spans="1:13" x14ac:dyDescent="0.25">
      <c r="A7" s="12"/>
      <c r="B7" s="4">
        <v>6</v>
      </c>
      <c r="C7" s="4" t="str">
        <f>IF(ISBLANK(A7)," ",VLOOKUP((A7),SONUC!$A$2:$L$10000,2,FALSE))</f>
        <v xml:space="preserve"> </v>
      </c>
      <c r="D7" s="4" t="str">
        <f>IF(ISBLANK(A7)," ",VLOOKUP((A7),SONUC!$A$2:$L$10000,3,FALSE))</f>
        <v xml:space="preserve"> </v>
      </c>
      <c r="E7" s="4" t="str">
        <f>IF(ISBLANK(A7)," ",VLOOKUP((A7),SONUC!$A$2:$L$10000,4,FALSE))</f>
        <v xml:space="preserve"> </v>
      </c>
      <c r="F7" s="4" t="str">
        <f>IF(ISBLANK(A7)," ",VLOOKUP((A7),SONUC!$A$2:$L$10000,5,FALSE))</f>
        <v xml:space="preserve"> </v>
      </c>
      <c r="G7" s="4" t="str">
        <f>IF(ISBLANK(A7)," ",VLOOKUP((A7),SONUC!$A$2:$L$10000,6,FALSE))</f>
        <v xml:space="preserve"> </v>
      </c>
      <c r="H7" s="4" t="str">
        <f>IF(ISBLANK(A7)," ",VLOOKUP((A7),SONUC!$A$2:$L$10000,7,FALSE))</f>
        <v xml:space="preserve"> </v>
      </c>
      <c r="I7" s="4" t="str">
        <f>IF(ISBLANK(A7)," ",VLOOKUP((A7),SONUC!$A$2:$L$10000,8,FALSE))</f>
        <v xml:space="preserve"> </v>
      </c>
      <c r="J7" s="4" t="str">
        <f>IF(ISBLANK(A7)," ",VLOOKUP((A7),SONUC!$A$2:$L$10000,9,FALSE))</f>
        <v xml:space="preserve"> </v>
      </c>
      <c r="K7" s="4" t="str">
        <f>IF(ISBLANK(A7)," ",VLOOKUP((A7),SONUC!$A$2:$L$10000,10,FALSE))</f>
        <v xml:space="preserve"> </v>
      </c>
      <c r="L7" s="4" t="str">
        <f>IF(ISBLANK(A7)," ",VLOOKUP((A7),SONUC!$A$2:$L$10000,11,FALSE))</f>
        <v xml:space="preserve"> </v>
      </c>
      <c r="M7" s="4" t="str">
        <f>IF(ISBLANK(A7)," ",VLOOKUP((A7),SONUC!$A$2:$L$10000,12,FALSE))</f>
        <v xml:space="preserve"> </v>
      </c>
    </row>
    <row r="8" spans="1:13" x14ac:dyDescent="0.25">
      <c r="A8" s="12"/>
      <c r="B8" s="4">
        <v>7</v>
      </c>
      <c r="C8" s="4" t="str">
        <f>IF(ISBLANK(A8)," ",VLOOKUP((A8),SONUC!$A$2:$L$10000,2,FALSE))</f>
        <v xml:space="preserve"> </v>
      </c>
      <c r="D8" s="4" t="str">
        <f>IF(ISBLANK(A8)," ",VLOOKUP((A8),SONUC!$A$2:$L$10000,3,FALSE))</f>
        <v xml:space="preserve"> </v>
      </c>
      <c r="E8" s="4" t="str">
        <f>IF(ISBLANK(A8)," ",VLOOKUP((A8),SONUC!$A$2:$L$10000,4,FALSE))</f>
        <v xml:space="preserve"> </v>
      </c>
      <c r="F8" s="4" t="str">
        <f>IF(ISBLANK(A8)," ",VLOOKUP((A8),SONUC!$A$2:$L$10000,5,FALSE))</f>
        <v xml:space="preserve"> </v>
      </c>
      <c r="G8" s="4" t="str">
        <f>IF(ISBLANK(A8)," ",VLOOKUP((A8),SONUC!$A$2:$L$10000,6,FALSE))</f>
        <v xml:space="preserve"> </v>
      </c>
      <c r="H8" s="4" t="str">
        <f>IF(ISBLANK(A8)," ",VLOOKUP((A8),SONUC!$A$2:$L$10000,7,FALSE))</f>
        <v xml:space="preserve"> </v>
      </c>
      <c r="I8" s="4" t="str">
        <f>IF(ISBLANK(A8)," ",VLOOKUP((A8),SONUC!$A$2:$L$10000,8,FALSE))</f>
        <v xml:space="preserve"> </v>
      </c>
      <c r="J8" s="4" t="str">
        <f>IF(ISBLANK(A8)," ",VLOOKUP((A8),SONUC!$A$2:$L$10000,9,FALSE))</f>
        <v xml:space="preserve"> </v>
      </c>
      <c r="K8" s="4" t="str">
        <f>IF(ISBLANK(A8)," ",VLOOKUP((A8),SONUC!$A$2:$L$10000,10,FALSE))</f>
        <v xml:space="preserve"> </v>
      </c>
      <c r="L8" s="4" t="str">
        <f>IF(ISBLANK(A8)," ",VLOOKUP((A8),SONUC!$A$2:$L$10000,11,FALSE))</f>
        <v xml:space="preserve"> </v>
      </c>
      <c r="M8" s="4" t="str">
        <f>IF(ISBLANK(A8)," ",VLOOKUP((A8),SONUC!$A$2:$L$10000,12,FALSE))</f>
        <v xml:space="preserve"> </v>
      </c>
    </row>
    <row r="9" spans="1:13" x14ac:dyDescent="0.25">
      <c r="A9" s="12"/>
      <c r="B9" s="4">
        <v>8</v>
      </c>
      <c r="C9" s="4" t="str">
        <f>IF(ISBLANK(A9)," ",VLOOKUP((A9),SONUC!$A$2:$L$10000,2,FALSE))</f>
        <v xml:space="preserve"> </v>
      </c>
      <c r="D9" s="4" t="str">
        <f>IF(ISBLANK(A9)," ",VLOOKUP((A9),SONUC!$A$2:$L$10000,3,FALSE))</f>
        <v xml:space="preserve"> </v>
      </c>
      <c r="E9" s="4" t="str">
        <f>IF(ISBLANK(A9)," ",VLOOKUP((A9),SONUC!$A$2:$L$10000,4,FALSE))</f>
        <v xml:space="preserve"> </v>
      </c>
      <c r="F9" s="4" t="str">
        <f>IF(ISBLANK(A9)," ",VLOOKUP((A9),SONUC!$A$2:$L$10000,5,FALSE))</f>
        <v xml:space="preserve"> </v>
      </c>
      <c r="G9" s="4" t="str">
        <f>IF(ISBLANK(A9)," ",VLOOKUP((A9),SONUC!$A$2:$L$10000,6,FALSE))</f>
        <v xml:space="preserve"> </v>
      </c>
      <c r="H9" s="4" t="str">
        <f>IF(ISBLANK(A9)," ",VLOOKUP((A9),SONUC!$A$2:$L$10000,7,FALSE))</f>
        <v xml:space="preserve"> </v>
      </c>
      <c r="I9" s="4" t="str">
        <f>IF(ISBLANK(A9)," ",VLOOKUP((A9),SONUC!$A$2:$L$10000,8,FALSE))</f>
        <v xml:space="preserve"> </v>
      </c>
      <c r="J9" s="4" t="str">
        <f>IF(ISBLANK(A9)," ",VLOOKUP((A9),SONUC!$A$2:$L$10000,9,FALSE))</f>
        <v xml:space="preserve"> </v>
      </c>
      <c r="K9" s="4" t="str">
        <f>IF(ISBLANK(A9)," ",VLOOKUP((A9),SONUC!$A$2:$L$10000,10,FALSE))</f>
        <v xml:space="preserve"> </v>
      </c>
      <c r="L9" s="4" t="str">
        <f>IF(ISBLANK(A9)," ",VLOOKUP((A9),SONUC!$A$2:$L$10000,11,FALSE))</f>
        <v xml:space="preserve"> </v>
      </c>
      <c r="M9" s="4" t="str">
        <f>IF(ISBLANK(A9)," ",VLOOKUP((A9),SONUC!$A$2:$L$10000,12,FALSE))</f>
        <v xml:space="preserve"> </v>
      </c>
    </row>
    <row r="10" spans="1:13" x14ac:dyDescent="0.25">
      <c r="A10" s="12"/>
      <c r="B10" s="4">
        <v>9</v>
      </c>
      <c r="C10" s="4" t="str">
        <f>IF(ISBLANK(A10)," ",VLOOKUP((A10),SONUC!$A$2:$L$10000,2,FALSE))</f>
        <v xml:space="preserve"> </v>
      </c>
      <c r="D10" s="4" t="str">
        <f>IF(ISBLANK(A10)," ",VLOOKUP((A10),SONUC!$A$2:$L$10000,3,FALSE))</f>
        <v xml:space="preserve"> </v>
      </c>
      <c r="E10" s="4" t="str">
        <f>IF(ISBLANK(A10)," ",VLOOKUP((A10),SONUC!$A$2:$L$10000,4,FALSE))</f>
        <v xml:space="preserve"> </v>
      </c>
      <c r="F10" s="4" t="str">
        <f>IF(ISBLANK(A10)," ",VLOOKUP((A10),SONUC!$A$2:$L$10000,5,FALSE))</f>
        <v xml:space="preserve"> </v>
      </c>
      <c r="G10" s="4" t="str">
        <f>IF(ISBLANK(A10)," ",VLOOKUP((A10),SONUC!$A$2:$L$10000,6,FALSE))</f>
        <v xml:space="preserve"> </v>
      </c>
      <c r="H10" s="4" t="str">
        <f>IF(ISBLANK(A10)," ",VLOOKUP((A10),SONUC!$A$2:$L$10000,7,FALSE))</f>
        <v xml:space="preserve"> </v>
      </c>
      <c r="I10" s="4" t="str">
        <f>IF(ISBLANK(A10)," ",VLOOKUP((A10),SONUC!$A$2:$L$10000,8,FALSE))</f>
        <v xml:space="preserve"> </v>
      </c>
      <c r="J10" s="4" t="str">
        <f>IF(ISBLANK(A10)," ",VLOOKUP((A10),SONUC!$A$2:$L$10000,9,FALSE))</f>
        <v xml:space="preserve"> </v>
      </c>
      <c r="K10" s="4" t="str">
        <f>IF(ISBLANK(A10)," ",VLOOKUP((A10),SONUC!$A$2:$L$10000,10,FALSE))</f>
        <v xml:space="preserve"> </v>
      </c>
      <c r="L10" s="4" t="str">
        <f>IF(ISBLANK(A10)," ",VLOOKUP((A10),SONUC!$A$2:$L$10000,11,FALSE))</f>
        <v xml:space="preserve"> </v>
      </c>
      <c r="M10" s="4" t="str">
        <f>IF(ISBLANK(A10)," ",VLOOKUP((A10),SONUC!$A$2:$L$10000,12,FALSE))</f>
        <v xml:space="preserve"> </v>
      </c>
    </row>
    <row r="11" spans="1:13" x14ac:dyDescent="0.25">
      <c r="A11" s="12"/>
      <c r="B11" s="4">
        <v>10</v>
      </c>
      <c r="C11" s="4" t="str">
        <f>IF(ISBLANK(A11)," ",VLOOKUP((A11),SONUC!$A$2:$L$10000,2,FALSE))</f>
        <v xml:space="preserve"> </v>
      </c>
      <c r="D11" s="4" t="str">
        <f>IF(ISBLANK(A11)," ",VLOOKUP((A11),SONUC!$A$2:$L$10000,3,FALSE))</f>
        <v xml:space="preserve"> </v>
      </c>
      <c r="E11" s="4" t="str">
        <f>IF(ISBLANK(A11)," ",VLOOKUP((A11),SONUC!$A$2:$L$10000,4,FALSE))</f>
        <v xml:space="preserve"> </v>
      </c>
      <c r="F11" s="4" t="str">
        <f>IF(ISBLANK(A11)," ",VLOOKUP((A11),SONUC!$A$2:$L$10000,5,FALSE))</f>
        <v xml:space="preserve"> </v>
      </c>
      <c r="G11" s="4" t="str">
        <f>IF(ISBLANK(A11)," ",VLOOKUP((A11),SONUC!$A$2:$L$10000,6,FALSE))</f>
        <v xml:space="preserve"> </v>
      </c>
      <c r="H11" s="4" t="str">
        <f>IF(ISBLANK(A11)," ",VLOOKUP((A11),SONUC!$A$2:$L$10000,7,FALSE))</f>
        <v xml:space="preserve"> </v>
      </c>
      <c r="I11" s="4" t="str">
        <f>IF(ISBLANK(A11)," ",VLOOKUP((A11),SONUC!$A$2:$L$10000,8,FALSE))</f>
        <v xml:space="preserve"> </v>
      </c>
      <c r="J11" s="4" t="str">
        <f>IF(ISBLANK(A11)," ",VLOOKUP((A11),SONUC!$A$2:$L$10000,9,FALSE))</f>
        <v xml:space="preserve"> </v>
      </c>
      <c r="K11" s="4" t="str">
        <f>IF(ISBLANK(A11)," ",VLOOKUP((A11),SONUC!$A$2:$L$10000,10,FALSE))</f>
        <v xml:space="preserve"> </v>
      </c>
      <c r="L11" s="4" t="str">
        <f>IF(ISBLANK(A11)," ",VLOOKUP((A11),SONUC!$A$2:$L$10000,11,FALSE))</f>
        <v xml:space="preserve"> </v>
      </c>
      <c r="M11" s="4" t="str">
        <f>IF(ISBLANK(A11)," ",VLOOKUP((A11),SONUC!$A$2:$L$10000,12,FALSE))</f>
        <v xml:space="preserve"> </v>
      </c>
    </row>
    <row r="12" spans="1:13" x14ac:dyDescent="0.25">
      <c r="A12" s="12"/>
      <c r="B12" s="4">
        <v>11</v>
      </c>
      <c r="C12" s="4" t="str">
        <f>IF(ISBLANK(A12)," ",VLOOKUP((A12),SONUC!$A$2:$L$10000,2,FALSE))</f>
        <v xml:space="preserve"> </v>
      </c>
      <c r="D12" s="4" t="str">
        <f>IF(ISBLANK(A12)," ",VLOOKUP((A12),SONUC!$A$2:$L$10000,3,FALSE))</f>
        <v xml:space="preserve"> </v>
      </c>
      <c r="E12" s="4" t="str">
        <f>IF(ISBLANK(A12)," ",VLOOKUP((A12),SONUC!$A$2:$L$10000,4,FALSE))</f>
        <v xml:space="preserve"> </v>
      </c>
      <c r="F12" s="4" t="str">
        <f>IF(ISBLANK(A12)," ",VLOOKUP((A12),SONUC!$A$2:$L$10000,5,FALSE))</f>
        <v xml:space="preserve"> </v>
      </c>
      <c r="G12" s="4" t="str">
        <f>IF(ISBLANK(A12)," ",VLOOKUP((A12),SONUC!$A$2:$L$10000,6,FALSE))</f>
        <v xml:space="preserve"> </v>
      </c>
      <c r="H12" s="4" t="str">
        <f>IF(ISBLANK(A12)," ",VLOOKUP((A12),SONUC!$A$2:$L$10000,7,FALSE))</f>
        <v xml:space="preserve"> </v>
      </c>
      <c r="I12" s="4" t="str">
        <f>IF(ISBLANK(A12)," ",VLOOKUP((A12),SONUC!$A$2:$L$10000,8,FALSE))</f>
        <v xml:space="preserve"> </v>
      </c>
      <c r="J12" s="4" t="str">
        <f>IF(ISBLANK(A12)," ",VLOOKUP((A12),SONUC!$A$2:$L$10000,9,FALSE))</f>
        <v xml:space="preserve"> </v>
      </c>
      <c r="K12" s="4" t="str">
        <f>IF(ISBLANK(A12)," ",VLOOKUP((A12),SONUC!$A$2:$L$10000,10,FALSE))</f>
        <v xml:space="preserve"> </v>
      </c>
      <c r="L12" s="4" t="str">
        <f>IF(ISBLANK(A12)," ",VLOOKUP((A12),SONUC!$A$2:$L$10000,11,FALSE))</f>
        <v xml:space="preserve"> </v>
      </c>
      <c r="M12" s="4" t="str">
        <f>IF(ISBLANK(A12)," ",VLOOKUP((A12),SONUC!$A$2:$L$10000,12,FALSE))</f>
        <v xml:space="preserve"> </v>
      </c>
    </row>
    <row r="13" spans="1:13" x14ac:dyDescent="0.25">
      <c r="A13" s="12"/>
      <c r="B13" s="4">
        <v>12</v>
      </c>
      <c r="C13" s="4" t="str">
        <f>IF(ISBLANK(A13)," ",VLOOKUP((A13),SONUC!$A$2:$L$10000,2,FALSE))</f>
        <v xml:space="preserve"> </v>
      </c>
      <c r="D13" s="4" t="str">
        <f>IF(ISBLANK(A13)," ",VLOOKUP((A13),SONUC!$A$2:$L$10000,3,FALSE))</f>
        <v xml:space="preserve"> </v>
      </c>
      <c r="E13" s="4" t="str">
        <f>IF(ISBLANK(A13)," ",VLOOKUP((A13),SONUC!$A$2:$L$10000,4,FALSE))</f>
        <v xml:space="preserve"> </v>
      </c>
      <c r="F13" s="4" t="str">
        <f>IF(ISBLANK(A13)," ",VLOOKUP((A13),SONUC!$A$2:$L$10000,5,FALSE))</f>
        <v xml:space="preserve"> </v>
      </c>
      <c r="G13" s="4" t="str">
        <f>IF(ISBLANK(A13)," ",VLOOKUP((A13),SONUC!$A$2:$L$10000,6,FALSE))</f>
        <v xml:space="preserve"> </v>
      </c>
      <c r="H13" s="4" t="str">
        <f>IF(ISBLANK(A13)," ",VLOOKUP((A13),SONUC!$A$2:$L$10000,7,FALSE))</f>
        <v xml:space="preserve"> </v>
      </c>
      <c r="I13" s="4" t="str">
        <f>IF(ISBLANK(A13)," ",VLOOKUP((A13),SONUC!$A$2:$L$10000,8,FALSE))</f>
        <v xml:space="preserve"> </v>
      </c>
      <c r="J13" s="4" t="str">
        <f>IF(ISBLANK(A13)," ",VLOOKUP((A13),SONUC!$A$2:$L$10000,9,FALSE))</f>
        <v xml:space="preserve"> </v>
      </c>
      <c r="K13" s="4" t="str">
        <f>IF(ISBLANK(A13)," ",VLOOKUP((A13),SONUC!$A$2:$L$10000,10,FALSE))</f>
        <v xml:space="preserve"> </v>
      </c>
      <c r="L13" s="4" t="str">
        <f>IF(ISBLANK(A13)," ",VLOOKUP((A13),SONUC!$A$2:$L$10000,11,FALSE))</f>
        <v xml:space="preserve"> </v>
      </c>
      <c r="M13" s="4" t="str">
        <f>IF(ISBLANK(A13)," ",VLOOKUP((A13),SONUC!$A$2:$L$10000,12,FALSE))</f>
        <v xml:space="preserve"> </v>
      </c>
    </row>
    <row r="14" spans="1:13" x14ac:dyDescent="0.25">
      <c r="A14" s="12"/>
      <c r="B14" s="4">
        <v>13</v>
      </c>
      <c r="C14" s="4" t="str">
        <f>IF(ISBLANK(A14)," ",VLOOKUP((A14),SONUC!$A$2:$L$10000,2,FALSE))</f>
        <v xml:space="preserve"> </v>
      </c>
      <c r="D14" s="4" t="str">
        <f>IF(ISBLANK(A14)," ",VLOOKUP((A14),SONUC!$A$2:$L$10000,3,FALSE))</f>
        <v xml:space="preserve"> </v>
      </c>
      <c r="E14" s="4" t="str">
        <f>IF(ISBLANK(A14)," ",VLOOKUP((A14),SONUC!$A$2:$L$10000,4,FALSE))</f>
        <v xml:space="preserve"> </v>
      </c>
      <c r="F14" s="4" t="str">
        <f>IF(ISBLANK(A14)," ",VLOOKUP((A14),SONUC!$A$2:$L$10000,5,FALSE))</f>
        <v xml:space="preserve"> </v>
      </c>
      <c r="G14" s="4" t="str">
        <f>IF(ISBLANK(A14)," ",VLOOKUP((A14),SONUC!$A$2:$L$10000,6,FALSE))</f>
        <v xml:space="preserve"> </v>
      </c>
      <c r="H14" s="4" t="str">
        <f>IF(ISBLANK(A14)," ",VLOOKUP((A14),SONUC!$A$2:$L$10000,7,FALSE))</f>
        <v xml:space="preserve"> </v>
      </c>
      <c r="I14" s="4" t="str">
        <f>IF(ISBLANK(A14)," ",VLOOKUP((A14),SONUC!$A$2:$L$10000,8,FALSE))</f>
        <v xml:space="preserve"> </v>
      </c>
      <c r="J14" s="4" t="str">
        <f>IF(ISBLANK(A14)," ",VLOOKUP((A14),SONUC!$A$2:$L$10000,9,FALSE))</f>
        <v xml:space="preserve"> </v>
      </c>
      <c r="K14" s="4" t="str">
        <f>IF(ISBLANK(A14)," ",VLOOKUP((A14),SONUC!$A$2:$L$10000,10,FALSE))</f>
        <v xml:space="preserve"> </v>
      </c>
      <c r="L14" s="4" t="str">
        <f>IF(ISBLANK(A14)," ",VLOOKUP((A14),SONUC!$A$2:$L$10000,11,FALSE))</f>
        <v xml:space="preserve"> </v>
      </c>
      <c r="M14" s="4" t="str">
        <f>IF(ISBLANK(A14)," ",VLOOKUP((A14),SONUC!$A$2:$L$10000,12,FALSE))</f>
        <v xml:space="preserve"> </v>
      </c>
    </row>
    <row r="15" spans="1:13" x14ac:dyDescent="0.25">
      <c r="A15" s="12"/>
      <c r="B15" s="4">
        <v>14</v>
      </c>
      <c r="C15" s="4" t="str">
        <f>IF(ISBLANK(A15)," ",VLOOKUP((A15),SONUC!$A$2:$L$10000,2,FALSE))</f>
        <v xml:space="preserve"> </v>
      </c>
      <c r="D15" s="4" t="str">
        <f>IF(ISBLANK(A15)," ",VLOOKUP((A15),SONUC!$A$2:$L$10000,3,FALSE))</f>
        <v xml:space="preserve"> </v>
      </c>
      <c r="E15" s="4" t="str">
        <f>IF(ISBLANK(A15)," ",VLOOKUP((A15),SONUC!$A$2:$L$10000,4,FALSE))</f>
        <v xml:space="preserve"> </v>
      </c>
      <c r="F15" s="4" t="str">
        <f>IF(ISBLANK(A15)," ",VLOOKUP((A15),SONUC!$A$2:$L$10000,5,FALSE))</f>
        <v xml:space="preserve"> </v>
      </c>
      <c r="G15" s="4" t="str">
        <f>IF(ISBLANK(A15)," ",VLOOKUP((A15),SONUC!$A$2:$L$10000,6,FALSE))</f>
        <v xml:space="preserve"> </v>
      </c>
      <c r="H15" s="4" t="str">
        <f>IF(ISBLANK(A15)," ",VLOOKUP((A15),SONUC!$A$2:$L$10000,7,FALSE))</f>
        <v xml:space="preserve"> </v>
      </c>
      <c r="I15" s="4" t="str">
        <f>IF(ISBLANK(A15)," ",VLOOKUP((A15),SONUC!$A$2:$L$10000,8,FALSE))</f>
        <v xml:space="preserve"> </v>
      </c>
      <c r="J15" s="4" t="str">
        <f>IF(ISBLANK(A15)," ",VLOOKUP((A15),SONUC!$A$2:$L$10000,9,FALSE))</f>
        <v xml:space="preserve"> </v>
      </c>
      <c r="K15" s="4" t="str">
        <f>IF(ISBLANK(A15)," ",VLOOKUP((A15),SONUC!$A$2:$L$10000,10,FALSE))</f>
        <v xml:space="preserve"> </v>
      </c>
      <c r="L15" s="4" t="str">
        <f>IF(ISBLANK(A15)," ",VLOOKUP((A15),SONUC!$A$2:$L$10000,11,FALSE))</f>
        <v xml:space="preserve"> </v>
      </c>
      <c r="M15" s="4" t="str">
        <f>IF(ISBLANK(A15)," ",VLOOKUP((A15),SONUC!$A$2:$L$10000,12,FALSE))</f>
        <v xml:space="preserve"> </v>
      </c>
    </row>
    <row r="16" spans="1:13" x14ac:dyDescent="0.25">
      <c r="A16" s="12"/>
      <c r="B16" s="4">
        <v>15</v>
      </c>
      <c r="C16" s="4" t="str">
        <f>IF(ISBLANK(A16)," ",VLOOKUP((A16),SONUC!$A$2:$L$10000,2,FALSE))</f>
        <v xml:space="preserve"> </v>
      </c>
      <c r="D16" s="4" t="str">
        <f>IF(ISBLANK(A16)," ",VLOOKUP((A16),SONUC!$A$2:$L$10000,3,FALSE))</f>
        <v xml:space="preserve"> </v>
      </c>
      <c r="E16" s="4" t="str">
        <f>IF(ISBLANK(A16)," ",VLOOKUP((A16),SONUC!$A$2:$L$10000,4,FALSE))</f>
        <v xml:space="preserve"> </v>
      </c>
      <c r="F16" s="4" t="str">
        <f>IF(ISBLANK(A16)," ",VLOOKUP((A16),SONUC!$A$2:$L$10000,5,FALSE))</f>
        <v xml:space="preserve"> </v>
      </c>
      <c r="G16" s="4" t="str">
        <f>IF(ISBLANK(A16)," ",VLOOKUP((A16),SONUC!$A$2:$L$10000,6,FALSE))</f>
        <v xml:space="preserve"> </v>
      </c>
      <c r="H16" s="4" t="str">
        <f>IF(ISBLANK(A16)," ",VLOOKUP((A16),SONUC!$A$2:$L$10000,7,FALSE))</f>
        <v xml:space="preserve"> </v>
      </c>
      <c r="I16" s="4" t="str">
        <f>IF(ISBLANK(A16)," ",VLOOKUP((A16),SONUC!$A$2:$L$10000,8,FALSE))</f>
        <v xml:space="preserve"> </v>
      </c>
      <c r="J16" s="4" t="str">
        <f>IF(ISBLANK(A16)," ",VLOOKUP((A16),SONUC!$A$2:$L$10000,9,FALSE))</f>
        <v xml:space="preserve"> </v>
      </c>
      <c r="K16" s="4" t="str">
        <f>IF(ISBLANK(A16)," ",VLOOKUP((A16),SONUC!$A$2:$L$10000,10,FALSE))</f>
        <v xml:space="preserve"> </v>
      </c>
      <c r="L16" s="4" t="str">
        <f>IF(ISBLANK(A16)," ",VLOOKUP((A16),SONUC!$A$2:$L$10000,11,FALSE))</f>
        <v xml:space="preserve"> </v>
      </c>
      <c r="M16" s="4" t="str">
        <f>IF(ISBLANK(A16)," ",VLOOKUP((A16),SONUC!$A$2:$L$10000,12,FALSE))</f>
        <v xml:space="preserve"> </v>
      </c>
    </row>
    <row r="17" spans="1:13" x14ac:dyDescent="0.25">
      <c r="A17" s="12"/>
      <c r="B17" s="4">
        <v>16</v>
      </c>
      <c r="C17" s="4" t="str">
        <f>IF(ISBLANK(A17)," ",VLOOKUP((A17),SONUC!$A$2:$L$10000,2,FALSE))</f>
        <v xml:space="preserve"> </v>
      </c>
      <c r="D17" s="4" t="str">
        <f>IF(ISBLANK(A17)," ",VLOOKUP((A17),SONUC!$A$2:$L$10000,3,FALSE))</f>
        <v xml:space="preserve"> </v>
      </c>
      <c r="E17" s="4" t="str">
        <f>IF(ISBLANK(A17)," ",VLOOKUP((A17),SONUC!$A$2:$L$10000,4,FALSE))</f>
        <v xml:space="preserve"> </v>
      </c>
      <c r="F17" s="4" t="str">
        <f>IF(ISBLANK(A17)," ",VLOOKUP((A17),SONUC!$A$2:$L$10000,5,FALSE))</f>
        <v xml:space="preserve"> </v>
      </c>
      <c r="G17" s="4" t="str">
        <f>IF(ISBLANK(A17)," ",VLOOKUP((A17),SONUC!$A$2:$L$10000,6,FALSE))</f>
        <v xml:space="preserve"> </v>
      </c>
      <c r="H17" s="4" t="str">
        <f>IF(ISBLANK(A17)," ",VLOOKUP((A17),SONUC!$A$2:$L$10000,7,FALSE))</f>
        <v xml:space="preserve"> </v>
      </c>
      <c r="I17" s="4" t="str">
        <f>IF(ISBLANK(A17)," ",VLOOKUP((A17),SONUC!$A$2:$L$10000,8,FALSE))</f>
        <v xml:space="preserve"> </v>
      </c>
      <c r="J17" s="4" t="str">
        <f>IF(ISBLANK(A17)," ",VLOOKUP((A17),SONUC!$A$2:$L$10000,9,FALSE))</f>
        <v xml:space="preserve"> </v>
      </c>
      <c r="K17" s="4" t="str">
        <f>IF(ISBLANK(A17)," ",VLOOKUP((A17),SONUC!$A$2:$L$10000,10,FALSE))</f>
        <v xml:space="preserve"> </v>
      </c>
      <c r="L17" s="4" t="str">
        <f>IF(ISBLANK(A17)," ",VLOOKUP((A17),SONUC!$A$2:$L$10000,11,FALSE))</f>
        <v xml:space="preserve"> </v>
      </c>
      <c r="M17" s="4" t="str">
        <f>IF(ISBLANK(A17)," ",VLOOKUP((A17),SONUC!$A$2:$L$10000,12,FALSE))</f>
        <v xml:space="preserve"> </v>
      </c>
    </row>
    <row r="18" spans="1:13" x14ac:dyDescent="0.25">
      <c r="A18" s="12"/>
      <c r="B18" s="4">
        <v>17</v>
      </c>
      <c r="C18" s="4" t="str">
        <f>IF(ISBLANK(A18)," ",VLOOKUP((A18),SONUC!$A$2:$L$10000,2,FALSE))</f>
        <v xml:space="preserve"> </v>
      </c>
      <c r="D18" s="4" t="str">
        <f>IF(ISBLANK(A18)," ",VLOOKUP((A18),SONUC!$A$2:$L$10000,3,FALSE))</f>
        <v xml:space="preserve"> </v>
      </c>
      <c r="E18" s="4" t="str">
        <f>IF(ISBLANK(A18)," ",VLOOKUP((A18),SONUC!$A$2:$L$10000,4,FALSE))</f>
        <v xml:space="preserve"> </v>
      </c>
      <c r="F18" s="4" t="str">
        <f>IF(ISBLANK(A18)," ",VLOOKUP((A18),SONUC!$A$2:$L$10000,5,FALSE))</f>
        <v xml:space="preserve"> </v>
      </c>
      <c r="G18" s="4" t="str">
        <f>IF(ISBLANK(A18)," ",VLOOKUP((A18),SONUC!$A$2:$L$10000,6,FALSE))</f>
        <v xml:space="preserve"> </v>
      </c>
      <c r="H18" s="4" t="str">
        <f>IF(ISBLANK(A18)," ",VLOOKUP((A18),SONUC!$A$2:$L$10000,7,FALSE))</f>
        <v xml:space="preserve"> </v>
      </c>
      <c r="I18" s="4" t="str">
        <f>IF(ISBLANK(A18)," ",VLOOKUP((A18),SONUC!$A$2:$L$10000,8,FALSE))</f>
        <v xml:space="preserve"> </v>
      </c>
      <c r="J18" s="4" t="str">
        <f>IF(ISBLANK(A18)," ",VLOOKUP((A18),SONUC!$A$2:$L$10000,9,FALSE))</f>
        <v xml:space="preserve"> </v>
      </c>
      <c r="K18" s="4" t="str">
        <f>IF(ISBLANK(A18)," ",VLOOKUP((A18),SONUC!$A$2:$L$10000,10,FALSE))</f>
        <v xml:space="preserve"> </v>
      </c>
      <c r="L18" s="4" t="str">
        <f>IF(ISBLANK(A18)," ",VLOOKUP((A18),SONUC!$A$2:$L$10000,11,FALSE))</f>
        <v xml:space="preserve"> </v>
      </c>
      <c r="M18" s="4" t="str">
        <f>IF(ISBLANK(A18)," ",VLOOKUP((A18),SONUC!$A$2:$L$10000,12,FALSE))</f>
        <v xml:space="preserve"> </v>
      </c>
    </row>
    <row r="19" spans="1:13" x14ac:dyDescent="0.25">
      <c r="A19" s="12"/>
      <c r="B19" s="4">
        <v>18</v>
      </c>
      <c r="C19" s="4" t="str">
        <f>IF(ISBLANK(A19)," ",VLOOKUP((A19),SONUC!$A$2:$L$10000,2,FALSE))</f>
        <v xml:space="preserve"> </v>
      </c>
      <c r="D19" s="4" t="str">
        <f>IF(ISBLANK(A19)," ",VLOOKUP((A19),SONUC!$A$2:$L$10000,3,FALSE))</f>
        <v xml:space="preserve"> </v>
      </c>
      <c r="E19" s="4" t="str">
        <f>IF(ISBLANK(A19)," ",VLOOKUP((A19),SONUC!$A$2:$L$10000,4,FALSE))</f>
        <v xml:space="preserve"> </v>
      </c>
      <c r="F19" s="4" t="str">
        <f>IF(ISBLANK(A19)," ",VLOOKUP((A19),SONUC!$A$2:$L$10000,5,FALSE))</f>
        <v xml:space="preserve"> </v>
      </c>
      <c r="G19" s="4" t="str">
        <f>IF(ISBLANK(A19)," ",VLOOKUP((A19),SONUC!$A$2:$L$10000,6,FALSE))</f>
        <v xml:space="preserve"> </v>
      </c>
      <c r="H19" s="4" t="str">
        <f>IF(ISBLANK(A19)," ",VLOOKUP((A19),SONUC!$A$2:$L$10000,7,FALSE))</f>
        <v xml:space="preserve"> </v>
      </c>
      <c r="I19" s="4" t="str">
        <f>IF(ISBLANK(A19)," ",VLOOKUP((A19),SONUC!$A$2:$L$10000,8,FALSE))</f>
        <v xml:space="preserve"> </v>
      </c>
      <c r="J19" s="4" t="str">
        <f>IF(ISBLANK(A19)," ",VLOOKUP((A19),SONUC!$A$2:$L$10000,9,FALSE))</f>
        <v xml:space="preserve"> </v>
      </c>
      <c r="K19" s="4" t="str">
        <f>IF(ISBLANK(A19)," ",VLOOKUP((A19),SONUC!$A$2:$L$10000,10,FALSE))</f>
        <v xml:space="preserve"> </v>
      </c>
      <c r="L19" s="4" t="str">
        <f>IF(ISBLANK(A19)," ",VLOOKUP((A19),SONUC!$A$2:$L$10000,11,FALSE))</f>
        <v xml:space="preserve"> </v>
      </c>
      <c r="M19" s="4" t="str">
        <f>IF(ISBLANK(A19)," ",VLOOKUP((A19),SONUC!$A$2:$L$10000,12,FALSE))</f>
        <v xml:space="preserve"> </v>
      </c>
    </row>
    <row r="20" spans="1:13" x14ac:dyDescent="0.25">
      <c r="A20" s="12"/>
      <c r="B20" s="4">
        <v>19</v>
      </c>
      <c r="C20" s="4" t="str">
        <f>IF(ISBLANK(A20)," ",VLOOKUP((A20),SONUC!$A$2:$L$10000,2,FALSE))</f>
        <v xml:space="preserve"> </v>
      </c>
      <c r="D20" s="4" t="str">
        <f>IF(ISBLANK(A20)," ",VLOOKUP((A20),SONUC!$A$2:$L$10000,3,FALSE))</f>
        <v xml:space="preserve"> </v>
      </c>
      <c r="E20" s="4" t="str">
        <f>IF(ISBLANK(A20)," ",VLOOKUP((A20),SONUC!$A$2:$L$10000,4,FALSE))</f>
        <v xml:space="preserve"> </v>
      </c>
      <c r="F20" s="4" t="str">
        <f>IF(ISBLANK(A20)," ",VLOOKUP((A20),SONUC!$A$2:$L$10000,5,FALSE))</f>
        <v xml:space="preserve"> </v>
      </c>
      <c r="G20" s="4" t="str">
        <f>IF(ISBLANK(A20)," ",VLOOKUP((A20),SONUC!$A$2:$L$10000,6,FALSE))</f>
        <v xml:space="preserve"> </v>
      </c>
      <c r="H20" s="4" t="str">
        <f>IF(ISBLANK(A20)," ",VLOOKUP((A20),SONUC!$A$2:$L$10000,7,FALSE))</f>
        <v xml:space="preserve"> </v>
      </c>
      <c r="I20" s="4" t="str">
        <f>IF(ISBLANK(A20)," ",VLOOKUP((A20),SONUC!$A$2:$L$10000,8,FALSE))</f>
        <v xml:space="preserve"> </v>
      </c>
      <c r="J20" s="4" t="str">
        <f>IF(ISBLANK(A20)," ",VLOOKUP((A20),SONUC!$A$2:$L$10000,9,FALSE))</f>
        <v xml:space="preserve"> </v>
      </c>
      <c r="K20" s="4" t="str">
        <f>IF(ISBLANK(A20)," ",VLOOKUP((A20),SONUC!$A$2:$L$10000,10,FALSE))</f>
        <v xml:space="preserve"> </v>
      </c>
      <c r="L20" s="4" t="str">
        <f>IF(ISBLANK(A20)," ",VLOOKUP((A20),SONUC!$A$2:$L$10000,11,FALSE))</f>
        <v xml:space="preserve"> </v>
      </c>
      <c r="M20" s="4" t="str">
        <f>IF(ISBLANK(A20)," ",VLOOKUP((A20),SONUC!$A$2:$L$10000,12,FALSE))</f>
        <v xml:space="preserve"> </v>
      </c>
    </row>
    <row r="21" spans="1:13" x14ac:dyDescent="0.25">
      <c r="A21" s="12"/>
      <c r="B21" s="4">
        <v>20</v>
      </c>
      <c r="C21" s="4" t="str">
        <f>IF(ISBLANK(A21)," ",VLOOKUP((A21),SONUC!$A$2:$L$10000,2,FALSE))</f>
        <v xml:space="preserve"> </v>
      </c>
      <c r="D21" s="4" t="str">
        <f>IF(ISBLANK(A21)," ",VLOOKUP((A21),SONUC!$A$2:$L$10000,3,FALSE))</f>
        <v xml:space="preserve"> </v>
      </c>
      <c r="E21" s="4" t="str">
        <f>IF(ISBLANK(A21)," ",VLOOKUP((A21),SONUC!$A$2:$L$10000,4,FALSE))</f>
        <v xml:space="preserve"> </v>
      </c>
      <c r="F21" s="4" t="str">
        <f>IF(ISBLANK(A21)," ",VLOOKUP((A21),SONUC!$A$2:$L$10000,5,FALSE))</f>
        <v xml:space="preserve"> </v>
      </c>
      <c r="G21" s="4" t="str">
        <f>IF(ISBLANK(A21)," ",VLOOKUP((A21),SONUC!$A$2:$L$10000,6,FALSE))</f>
        <v xml:space="preserve"> </v>
      </c>
      <c r="H21" s="4" t="str">
        <f>IF(ISBLANK(A21)," ",VLOOKUP((A21),SONUC!$A$2:$L$10000,7,FALSE))</f>
        <v xml:space="preserve"> </v>
      </c>
      <c r="I21" s="4" t="str">
        <f>IF(ISBLANK(A21)," ",VLOOKUP((A21),SONUC!$A$2:$L$10000,8,FALSE))</f>
        <v xml:space="preserve"> </v>
      </c>
      <c r="J21" s="4" t="str">
        <f>IF(ISBLANK(A21)," ",VLOOKUP((A21),SONUC!$A$2:$L$10000,9,FALSE))</f>
        <v xml:space="preserve"> </v>
      </c>
      <c r="K21" s="4" t="str">
        <f>IF(ISBLANK(A21)," ",VLOOKUP((A21),SONUC!$A$2:$L$10000,10,FALSE))</f>
        <v xml:space="preserve"> </v>
      </c>
      <c r="L21" s="4" t="str">
        <f>IF(ISBLANK(A21)," ",VLOOKUP((A21),SONUC!$A$2:$L$10000,11,FALSE))</f>
        <v xml:space="preserve"> </v>
      </c>
      <c r="M21" s="4" t="str">
        <f>IF(ISBLANK(A21)," ",VLOOKUP((A21),SONUC!$A$2:$L$10000,12,FALSE))</f>
        <v xml:space="preserve"> </v>
      </c>
    </row>
    <row r="22" spans="1:13" x14ac:dyDescent="0.25">
      <c r="A22" s="12"/>
      <c r="B22" s="4">
        <v>21</v>
      </c>
      <c r="C22" s="4" t="str">
        <f>IF(ISBLANK(A22)," ",VLOOKUP((A22),SONUC!$A$2:$L$10000,2,FALSE))</f>
        <v xml:space="preserve"> </v>
      </c>
      <c r="D22" s="4" t="str">
        <f>IF(ISBLANK(A22)," ",VLOOKUP((A22),SONUC!$A$2:$L$10000,3,FALSE))</f>
        <v xml:space="preserve"> </v>
      </c>
      <c r="E22" s="4" t="str">
        <f>IF(ISBLANK(A22)," ",VLOOKUP((A22),SONUC!$A$2:$L$10000,4,FALSE))</f>
        <v xml:space="preserve"> </v>
      </c>
      <c r="F22" s="4" t="str">
        <f>IF(ISBLANK(A22)," ",VLOOKUP((A22),SONUC!$A$2:$L$10000,5,FALSE))</f>
        <v xml:space="preserve"> </v>
      </c>
      <c r="G22" s="4" t="str">
        <f>IF(ISBLANK(A22)," ",VLOOKUP((A22),SONUC!$A$2:$L$10000,6,FALSE))</f>
        <v xml:space="preserve"> </v>
      </c>
      <c r="H22" s="4" t="str">
        <f>IF(ISBLANK(A22)," ",VLOOKUP((A22),SONUC!$A$2:$L$10000,7,FALSE))</f>
        <v xml:space="preserve"> </v>
      </c>
      <c r="I22" s="4" t="str">
        <f>IF(ISBLANK(A22)," ",VLOOKUP((A22),SONUC!$A$2:$L$10000,8,FALSE))</f>
        <v xml:space="preserve"> </v>
      </c>
      <c r="J22" s="4" t="str">
        <f>IF(ISBLANK(A22)," ",VLOOKUP((A22),SONUC!$A$2:$L$10000,9,FALSE))</f>
        <v xml:space="preserve"> </v>
      </c>
      <c r="K22" s="4" t="str">
        <f>IF(ISBLANK(A22)," ",VLOOKUP((A22),SONUC!$A$2:$L$10000,10,FALSE))</f>
        <v xml:space="preserve"> </v>
      </c>
      <c r="L22" s="4" t="str">
        <f>IF(ISBLANK(A22)," ",VLOOKUP((A22),SONUC!$A$2:$L$10000,11,FALSE))</f>
        <v xml:space="preserve"> </v>
      </c>
      <c r="M22" s="4" t="str">
        <f>IF(ISBLANK(A22)," ",VLOOKUP((A22),SONUC!$A$2:$L$10000,12,FALSE))</f>
        <v xml:space="preserve"> </v>
      </c>
    </row>
    <row r="23" spans="1:13" x14ac:dyDescent="0.25">
      <c r="A23" s="12"/>
      <c r="B23" s="4">
        <v>22</v>
      </c>
      <c r="C23" s="4" t="str">
        <f>IF(ISBLANK(A23)," ",VLOOKUP((A23),SONUC!$A$2:$L$10000,2,FALSE))</f>
        <v xml:space="preserve"> </v>
      </c>
      <c r="D23" s="4" t="str">
        <f>IF(ISBLANK(A23)," ",VLOOKUP((A23),SONUC!$A$2:$L$10000,3,FALSE))</f>
        <v xml:space="preserve"> </v>
      </c>
      <c r="E23" s="4" t="str">
        <f>IF(ISBLANK(A23)," ",VLOOKUP((A23),SONUC!$A$2:$L$10000,4,FALSE))</f>
        <v xml:space="preserve"> </v>
      </c>
      <c r="F23" s="4" t="str">
        <f>IF(ISBLANK(A23)," ",VLOOKUP((A23),SONUC!$A$2:$L$10000,5,FALSE))</f>
        <v xml:space="preserve"> </v>
      </c>
      <c r="G23" s="4" t="str">
        <f>IF(ISBLANK(A23)," ",VLOOKUP((A23),SONUC!$A$2:$L$10000,6,FALSE))</f>
        <v xml:space="preserve"> </v>
      </c>
      <c r="H23" s="4" t="str">
        <f>IF(ISBLANK(A23)," ",VLOOKUP((A23),SONUC!$A$2:$L$10000,7,FALSE))</f>
        <v xml:space="preserve"> </v>
      </c>
      <c r="I23" s="4" t="str">
        <f>IF(ISBLANK(A23)," ",VLOOKUP((A23),SONUC!$A$2:$L$10000,8,FALSE))</f>
        <v xml:space="preserve"> </v>
      </c>
      <c r="J23" s="4" t="str">
        <f>IF(ISBLANK(A23)," ",VLOOKUP((A23),SONUC!$A$2:$L$10000,9,FALSE))</f>
        <v xml:space="preserve"> </v>
      </c>
      <c r="K23" s="4" t="str">
        <f>IF(ISBLANK(A23)," ",VLOOKUP((A23),SONUC!$A$2:$L$10000,10,FALSE))</f>
        <v xml:space="preserve"> </v>
      </c>
      <c r="L23" s="4" t="str">
        <f>IF(ISBLANK(A23)," ",VLOOKUP((A23),SONUC!$A$2:$L$10000,11,FALSE))</f>
        <v xml:space="preserve"> </v>
      </c>
      <c r="M23" s="4" t="str">
        <f>IF(ISBLANK(A23)," ",VLOOKUP((A23),SONUC!$A$2:$L$10000,12,FALSE))</f>
        <v xml:space="preserve"> </v>
      </c>
    </row>
    <row r="24" spans="1:13" x14ac:dyDescent="0.25">
      <c r="A24" s="12"/>
      <c r="B24" s="4">
        <v>23</v>
      </c>
      <c r="C24" s="4" t="str">
        <f>IF(ISBLANK(A24)," ",VLOOKUP((A24),SONUC!$A$2:$L$10000,2,FALSE))</f>
        <v xml:space="preserve"> </v>
      </c>
      <c r="D24" s="4" t="str">
        <f>IF(ISBLANK(A24)," ",VLOOKUP((A24),SONUC!$A$2:$L$10000,3,FALSE))</f>
        <v xml:space="preserve"> </v>
      </c>
      <c r="E24" s="4" t="str">
        <f>IF(ISBLANK(A24)," ",VLOOKUP((A24),SONUC!$A$2:$L$10000,4,FALSE))</f>
        <v xml:space="preserve"> </v>
      </c>
      <c r="F24" s="4" t="str">
        <f>IF(ISBLANK(A24)," ",VLOOKUP((A24),SONUC!$A$2:$L$10000,5,FALSE))</f>
        <v xml:space="preserve"> </v>
      </c>
      <c r="G24" s="4" t="str">
        <f>IF(ISBLANK(A24)," ",VLOOKUP((A24),SONUC!$A$2:$L$10000,6,FALSE))</f>
        <v xml:space="preserve"> </v>
      </c>
      <c r="H24" s="4" t="str">
        <f>IF(ISBLANK(A24)," ",VLOOKUP((A24),SONUC!$A$2:$L$10000,7,FALSE))</f>
        <v xml:space="preserve"> </v>
      </c>
      <c r="I24" s="4" t="str">
        <f>IF(ISBLANK(A24)," ",VLOOKUP((A24),SONUC!$A$2:$L$10000,8,FALSE))</f>
        <v xml:space="preserve"> </v>
      </c>
      <c r="J24" s="4" t="str">
        <f>IF(ISBLANK(A24)," ",VLOOKUP((A24),SONUC!$A$2:$L$10000,9,FALSE))</f>
        <v xml:space="preserve"> </v>
      </c>
      <c r="K24" s="4" t="str">
        <f>IF(ISBLANK(A24)," ",VLOOKUP((A24),SONUC!$A$2:$L$10000,10,FALSE))</f>
        <v xml:space="preserve"> </v>
      </c>
      <c r="L24" s="4" t="str">
        <f>IF(ISBLANK(A24)," ",VLOOKUP((A24),SONUC!$A$2:$L$10000,11,FALSE))</f>
        <v xml:space="preserve"> </v>
      </c>
      <c r="M24" s="4" t="str">
        <f>IF(ISBLANK(A24)," ",VLOOKUP((A24),SONUC!$A$2:$L$10000,12,FALSE))</f>
        <v xml:space="preserve"> </v>
      </c>
    </row>
    <row r="25" spans="1:13" x14ac:dyDescent="0.25">
      <c r="A25" s="12"/>
      <c r="B25" s="4">
        <v>24</v>
      </c>
      <c r="C25" s="4" t="str">
        <f>IF(ISBLANK(A25)," ",VLOOKUP((A25),SONUC!$A$2:$L$10000,2,FALSE))</f>
        <v xml:space="preserve"> </v>
      </c>
      <c r="D25" s="4" t="str">
        <f>IF(ISBLANK(A25)," ",VLOOKUP((A25),SONUC!$A$2:$L$10000,3,FALSE))</f>
        <v xml:space="preserve"> </v>
      </c>
      <c r="E25" s="4" t="str">
        <f>IF(ISBLANK(A25)," ",VLOOKUP((A25),SONUC!$A$2:$L$10000,4,FALSE))</f>
        <v xml:space="preserve"> </v>
      </c>
      <c r="F25" s="4" t="str">
        <f>IF(ISBLANK(A25)," ",VLOOKUP((A25),SONUC!$A$2:$L$10000,5,FALSE))</f>
        <v xml:space="preserve"> </v>
      </c>
      <c r="G25" s="4" t="str">
        <f>IF(ISBLANK(A25)," ",VLOOKUP((A25),SONUC!$A$2:$L$10000,6,FALSE))</f>
        <v xml:space="preserve"> </v>
      </c>
      <c r="H25" s="4" t="str">
        <f>IF(ISBLANK(A25)," ",VLOOKUP((A25),SONUC!$A$2:$L$10000,7,FALSE))</f>
        <v xml:space="preserve"> </v>
      </c>
      <c r="I25" s="4" t="str">
        <f>IF(ISBLANK(A25)," ",VLOOKUP((A25),SONUC!$A$2:$L$10000,8,FALSE))</f>
        <v xml:space="preserve"> </v>
      </c>
      <c r="J25" s="4" t="str">
        <f>IF(ISBLANK(A25)," ",VLOOKUP((A25),SONUC!$A$2:$L$10000,9,FALSE))</f>
        <v xml:space="preserve"> </v>
      </c>
      <c r="K25" s="4" t="str">
        <f>IF(ISBLANK(A25)," ",VLOOKUP((A25),SONUC!$A$2:$L$10000,10,FALSE))</f>
        <v xml:space="preserve"> </v>
      </c>
      <c r="L25" s="4" t="str">
        <f>IF(ISBLANK(A25)," ",VLOOKUP((A25),SONUC!$A$2:$L$10000,11,FALSE))</f>
        <v xml:space="preserve"> </v>
      </c>
      <c r="M25" s="4" t="str">
        <f>IF(ISBLANK(A25)," ",VLOOKUP((A25),SONUC!$A$2:$L$10000,12,FALSE))</f>
        <v xml:space="preserve"> </v>
      </c>
    </row>
    <row r="26" spans="1:13" x14ac:dyDescent="0.25">
      <c r="A26" s="12"/>
      <c r="B26" s="4">
        <v>25</v>
      </c>
      <c r="C26" s="4" t="str">
        <f>IF(ISBLANK(A26)," ",VLOOKUP((A26),SONUC!$A$2:$L$10000,2,FALSE))</f>
        <v xml:space="preserve"> </v>
      </c>
      <c r="D26" s="4" t="str">
        <f>IF(ISBLANK(A26)," ",VLOOKUP((A26),SONUC!$A$2:$L$10000,3,FALSE))</f>
        <v xml:space="preserve"> </v>
      </c>
      <c r="E26" s="4" t="str">
        <f>IF(ISBLANK(A26)," ",VLOOKUP((A26),SONUC!$A$2:$L$10000,4,FALSE))</f>
        <v xml:space="preserve"> </v>
      </c>
      <c r="F26" s="4" t="str">
        <f>IF(ISBLANK(A26)," ",VLOOKUP((A26),SONUC!$A$2:$L$10000,5,FALSE))</f>
        <v xml:space="preserve"> </v>
      </c>
      <c r="G26" s="4" t="str">
        <f>IF(ISBLANK(A26)," ",VLOOKUP((A26),SONUC!$A$2:$L$10000,6,FALSE))</f>
        <v xml:space="preserve"> </v>
      </c>
      <c r="H26" s="4" t="str">
        <f>IF(ISBLANK(A26)," ",VLOOKUP((A26),SONUC!$A$2:$L$10000,7,FALSE))</f>
        <v xml:space="preserve"> </v>
      </c>
      <c r="I26" s="4" t="str">
        <f>IF(ISBLANK(A26)," ",VLOOKUP((A26),SONUC!$A$2:$L$10000,8,FALSE))</f>
        <v xml:space="preserve"> </v>
      </c>
      <c r="J26" s="4" t="str">
        <f>IF(ISBLANK(A26)," ",VLOOKUP((A26),SONUC!$A$2:$L$10000,9,FALSE))</f>
        <v xml:space="preserve"> </v>
      </c>
      <c r="K26" s="4" t="str">
        <f>IF(ISBLANK(A26)," ",VLOOKUP((A26),SONUC!$A$2:$L$10000,10,FALSE))</f>
        <v xml:space="preserve"> </v>
      </c>
      <c r="L26" s="4" t="str">
        <f>IF(ISBLANK(A26)," ",VLOOKUP((A26),SONUC!$A$2:$L$10000,11,FALSE))</f>
        <v xml:space="preserve"> </v>
      </c>
      <c r="M26" s="4" t="str">
        <f>IF(ISBLANK(A26)," ",VLOOKUP((A26),SONUC!$A$2:$L$10000,12,FALSE))</f>
        <v xml:space="preserve"> </v>
      </c>
    </row>
    <row r="27" spans="1:13" x14ac:dyDescent="0.25">
      <c r="A27" s="13"/>
      <c r="B27" s="4">
        <v>26</v>
      </c>
      <c r="C27" s="4" t="str">
        <f>IF(ISBLANK(A27)," ",VLOOKUP((A27),SONUC!$A$2:$L$10000,2,FALSE))</f>
        <v xml:space="preserve"> </v>
      </c>
      <c r="D27" s="4" t="str">
        <f>IF(ISBLANK(A27)," ",VLOOKUP((A27),SONUC!$A$2:$L$10000,3,FALSE))</f>
        <v xml:space="preserve"> </v>
      </c>
      <c r="E27" s="4" t="str">
        <f>IF(ISBLANK(A27)," ",VLOOKUP((A27),SONUC!$A$2:$L$10000,4,FALSE))</f>
        <v xml:space="preserve"> </v>
      </c>
      <c r="F27" s="4" t="str">
        <f>IF(ISBLANK(A27)," ",VLOOKUP((A27),SONUC!$A$2:$L$10000,5,FALSE))</f>
        <v xml:space="preserve"> </v>
      </c>
      <c r="G27" s="4" t="str">
        <f>IF(ISBLANK(A27)," ",VLOOKUP((A27),SONUC!$A$2:$L$10000,6,FALSE))</f>
        <v xml:space="preserve"> </v>
      </c>
      <c r="H27" s="4" t="str">
        <f>IF(ISBLANK(A27)," ",VLOOKUP((A27),SONUC!$A$2:$L$10000,7,FALSE))</f>
        <v xml:space="preserve"> </v>
      </c>
      <c r="I27" s="4" t="str">
        <f>IF(ISBLANK(A27)," ",VLOOKUP((A27),SONUC!$A$2:$L$10000,8,FALSE))</f>
        <v xml:space="preserve"> </v>
      </c>
      <c r="J27" s="4" t="str">
        <f>IF(ISBLANK(A27)," ",VLOOKUP((A27),SONUC!$A$2:$L$10000,9,FALSE))</f>
        <v xml:space="preserve"> </v>
      </c>
      <c r="K27" s="4" t="str">
        <f>IF(ISBLANK(A27)," ",VLOOKUP((A27),SONUC!$A$2:$L$10000,10,FALSE))</f>
        <v xml:space="preserve"> </v>
      </c>
      <c r="L27" s="4" t="str">
        <f>IF(ISBLANK(A27)," ",VLOOKUP((A27),SONUC!$A$2:$L$10000,11,FALSE))</f>
        <v xml:space="preserve"> </v>
      </c>
      <c r="M27" s="4" t="str">
        <f>IF(ISBLANK(A27)," ",VLOOKUP((A27),SONUC!$A$2:$L$10000,12,FALSE))</f>
        <v xml:space="preserve"> </v>
      </c>
    </row>
    <row r="28" spans="1:13" x14ac:dyDescent="0.25">
      <c r="A28" s="13"/>
      <c r="B28" s="4">
        <v>27</v>
      </c>
      <c r="C28" s="4" t="str">
        <f>IF(ISBLANK(A28)," ",VLOOKUP((A28),SONUC!$A$2:$L$10000,2,FALSE))</f>
        <v xml:space="preserve"> </v>
      </c>
      <c r="D28" s="4" t="str">
        <f>IF(ISBLANK(A28)," ",VLOOKUP((A28),SONUC!$A$2:$L$10000,3,FALSE))</f>
        <v xml:space="preserve"> </v>
      </c>
      <c r="E28" s="4" t="str">
        <f>IF(ISBLANK(A28)," ",VLOOKUP((A28),SONUC!$A$2:$L$10000,4,FALSE))</f>
        <v xml:space="preserve"> </v>
      </c>
      <c r="F28" s="4" t="str">
        <f>IF(ISBLANK(A28)," ",VLOOKUP((A28),SONUC!$A$2:$L$10000,5,FALSE))</f>
        <v xml:space="preserve"> </v>
      </c>
      <c r="G28" s="4" t="str">
        <f>IF(ISBLANK(A28)," ",VLOOKUP((A28),SONUC!$A$2:$L$10000,6,FALSE))</f>
        <v xml:space="preserve"> </v>
      </c>
      <c r="H28" s="4" t="str">
        <f>IF(ISBLANK(A28)," ",VLOOKUP((A28),SONUC!$A$2:$L$10000,7,FALSE))</f>
        <v xml:space="preserve"> </v>
      </c>
      <c r="I28" s="4" t="str">
        <f>IF(ISBLANK(A28)," ",VLOOKUP((A28),SONUC!$A$2:$L$10000,8,FALSE))</f>
        <v xml:space="preserve"> </v>
      </c>
      <c r="J28" s="4" t="str">
        <f>IF(ISBLANK(A28)," ",VLOOKUP((A28),SONUC!$A$2:$L$10000,9,FALSE))</f>
        <v xml:space="preserve"> </v>
      </c>
      <c r="K28" s="4" t="str">
        <f>IF(ISBLANK(A28)," ",VLOOKUP((A28),SONUC!$A$2:$L$10000,10,FALSE))</f>
        <v xml:space="preserve"> </v>
      </c>
      <c r="L28" s="4" t="str">
        <f>IF(ISBLANK(A28)," ",VLOOKUP((A28),SONUC!$A$2:$L$10000,11,FALSE))</f>
        <v xml:space="preserve"> </v>
      </c>
      <c r="M28" s="4" t="str">
        <f>IF(ISBLANK(A28)," ",VLOOKUP((A28),SONUC!$A$2:$L$10000,12,FALSE))</f>
        <v xml:space="preserve"> </v>
      </c>
    </row>
    <row r="29" spans="1:13" x14ac:dyDescent="0.25">
      <c r="A29" s="11"/>
      <c r="B29" s="4">
        <v>28</v>
      </c>
      <c r="C29" s="4" t="str">
        <f>IF(ISBLANK(A29)," ",VLOOKUP((A29),SONUC!$A$2:$L$10000,2,FALSE))</f>
        <v xml:space="preserve"> </v>
      </c>
      <c r="D29" s="4" t="str">
        <f>IF(ISBLANK(A29)," ",VLOOKUP((A29),SONUC!$A$2:$L$10000,3,FALSE))</f>
        <v xml:space="preserve"> </v>
      </c>
      <c r="E29" s="4" t="str">
        <f>IF(ISBLANK(A29)," ",VLOOKUP((A29),SONUC!$A$2:$L$10000,4,FALSE))</f>
        <v xml:space="preserve"> </v>
      </c>
      <c r="F29" s="4" t="str">
        <f>IF(ISBLANK(A29)," ",VLOOKUP((A29),SONUC!$A$2:$L$10000,5,FALSE))</f>
        <v xml:space="preserve"> </v>
      </c>
      <c r="G29" s="4" t="str">
        <f>IF(ISBLANK(A29)," ",VLOOKUP((A29),SONUC!$A$2:$L$10000,6,FALSE))</f>
        <v xml:space="preserve"> </v>
      </c>
      <c r="H29" s="4" t="str">
        <f>IF(ISBLANK(A29)," ",VLOOKUP((A29),SONUC!$A$2:$L$10000,7,FALSE))</f>
        <v xml:space="preserve"> </v>
      </c>
      <c r="I29" s="4" t="str">
        <f>IF(ISBLANK(A29)," ",VLOOKUP((A29),SONUC!$A$2:$L$10000,8,FALSE))</f>
        <v xml:space="preserve"> </v>
      </c>
      <c r="J29" s="4" t="str">
        <f>IF(ISBLANK(A29)," ",VLOOKUP((A29),SONUC!$A$2:$L$10000,9,FALSE))</f>
        <v xml:space="preserve"> </v>
      </c>
      <c r="K29" s="4" t="str">
        <f>IF(ISBLANK(A29)," ",VLOOKUP((A29),SONUC!$A$2:$L$10000,10,FALSE))</f>
        <v xml:space="preserve"> </v>
      </c>
      <c r="L29" s="4" t="str">
        <f>IF(ISBLANK(A29)," ",VLOOKUP((A29),SONUC!$A$2:$L$10000,11,FALSE))</f>
        <v xml:space="preserve"> </v>
      </c>
      <c r="M29" s="4" t="str">
        <f>IF(ISBLANK(A29)," ",VLOOKUP((A29),SONUC!$A$2:$L$10000,12,FALSE))</f>
        <v xml:space="preserve"> </v>
      </c>
    </row>
    <row r="30" spans="1:13" x14ac:dyDescent="0.25">
      <c r="A30" s="11"/>
      <c r="B30" s="4">
        <v>29</v>
      </c>
      <c r="C30" s="4" t="str">
        <f>IF(ISBLANK(A30)," ",VLOOKUP((A30),SONUC!$A$2:$L$10000,2,FALSE))</f>
        <v xml:space="preserve"> </v>
      </c>
      <c r="D30" s="4" t="str">
        <f>IF(ISBLANK(A30)," ",VLOOKUP((A30),SONUC!$A$2:$L$10000,3,FALSE))</f>
        <v xml:space="preserve"> </v>
      </c>
      <c r="E30" s="4" t="str">
        <f>IF(ISBLANK(A30)," ",VLOOKUP((A30),SONUC!$A$2:$L$10000,4,FALSE))</f>
        <v xml:space="preserve"> </v>
      </c>
      <c r="F30" s="4" t="str">
        <f>IF(ISBLANK(A30)," ",VLOOKUP((A30),SONUC!$A$2:$L$10000,5,FALSE))</f>
        <v xml:space="preserve"> </v>
      </c>
      <c r="G30" s="4" t="str">
        <f>IF(ISBLANK(A30)," ",VLOOKUP((A30),SONUC!$A$2:$L$10000,6,FALSE))</f>
        <v xml:space="preserve"> </v>
      </c>
      <c r="H30" s="4" t="str">
        <f>IF(ISBLANK(A30)," ",VLOOKUP((A30),SONUC!$A$2:$L$10000,7,FALSE))</f>
        <v xml:space="preserve"> </v>
      </c>
      <c r="I30" s="4" t="str">
        <f>IF(ISBLANK(A30)," ",VLOOKUP((A30),SONUC!$A$2:$L$10000,8,FALSE))</f>
        <v xml:space="preserve"> </v>
      </c>
      <c r="J30" s="4" t="str">
        <f>IF(ISBLANK(A30)," ",VLOOKUP((A30),SONUC!$A$2:$L$10000,9,FALSE))</f>
        <v xml:space="preserve"> </v>
      </c>
      <c r="K30" s="4" t="str">
        <f>IF(ISBLANK(A30)," ",VLOOKUP((A30),SONUC!$A$2:$L$10000,10,FALSE))</f>
        <v xml:space="preserve"> </v>
      </c>
      <c r="L30" s="4" t="str">
        <f>IF(ISBLANK(A30)," ",VLOOKUP((A30),SONUC!$A$2:$L$10000,11,FALSE))</f>
        <v xml:space="preserve"> </v>
      </c>
      <c r="M30" s="4" t="str">
        <f>IF(ISBLANK(A30)," ",VLOOKUP((A30),SONUC!$A$2:$L$10000,12,FALSE))</f>
        <v xml:space="preserve"> </v>
      </c>
    </row>
    <row r="31" spans="1:13" x14ac:dyDescent="0.25">
      <c r="A31" s="11"/>
      <c r="B31" s="4">
        <v>30</v>
      </c>
      <c r="C31" s="4" t="str">
        <f>IF(ISBLANK(A31)," ",VLOOKUP((A31),SONUC!$A$2:$L$10000,2,FALSE))</f>
        <v xml:space="preserve"> </v>
      </c>
      <c r="D31" s="4" t="str">
        <f>IF(ISBLANK(A31)," ",VLOOKUP((A31),SONUC!$A$2:$L$10000,3,FALSE))</f>
        <v xml:space="preserve"> </v>
      </c>
      <c r="E31" s="4" t="str">
        <f>IF(ISBLANK(A31)," ",VLOOKUP((A31),SONUC!$A$2:$L$10000,4,FALSE))</f>
        <v xml:space="preserve"> </v>
      </c>
      <c r="F31" s="4" t="str">
        <f>IF(ISBLANK(A31)," ",VLOOKUP((A31),SONUC!$A$2:$L$10000,5,FALSE))</f>
        <v xml:space="preserve"> </v>
      </c>
      <c r="G31" s="4" t="str">
        <f>IF(ISBLANK(A31)," ",VLOOKUP((A31),SONUC!$A$2:$L$10000,6,FALSE))</f>
        <v xml:space="preserve"> </v>
      </c>
      <c r="H31" s="4" t="str">
        <f>IF(ISBLANK(A31)," ",VLOOKUP((A31),SONUC!$A$2:$L$10000,7,FALSE))</f>
        <v xml:space="preserve"> </v>
      </c>
      <c r="I31" s="4" t="str">
        <f>IF(ISBLANK(A31)," ",VLOOKUP((A31),SONUC!$A$2:$L$10000,8,FALSE))</f>
        <v xml:space="preserve"> </v>
      </c>
      <c r="J31" s="4" t="str">
        <f>IF(ISBLANK(A31)," ",VLOOKUP((A31),SONUC!$A$2:$L$10000,9,FALSE))</f>
        <v xml:space="preserve"> </v>
      </c>
      <c r="K31" s="4" t="str">
        <f>IF(ISBLANK(A31)," ",VLOOKUP((A31),SONUC!$A$2:$L$10000,10,FALSE))</f>
        <v xml:space="preserve"> </v>
      </c>
      <c r="L31" s="4" t="str">
        <f>IF(ISBLANK(A31)," ",VLOOKUP((A31),SONUC!$A$2:$L$10000,11,FALSE))</f>
        <v xml:space="preserve"> </v>
      </c>
      <c r="M31" s="4" t="str">
        <f>IF(ISBLANK(A31)," ",VLOOKUP((A31),SONUC!$A$2:$L$10000,12,FALSE))</f>
        <v xml:space="preserve"> </v>
      </c>
    </row>
    <row r="32" spans="1:13" x14ac:dyDescent="0.25">
      <c r="A32" s="11"/>
      <c r="B32" s="4">
        <v>31</v>
      </c>
      <c r="C32" s="4" t="str">
        <f>IF(ISBLANK(A32)," ",VLOOKUP((A32),SONUC!$A$2:$L$10000,2,FALSE))</f>
        <v xml:space="preserve"> </v>
      </c>
      <c r="D32" s="4" t="str">
        <f>IF(ISBLANK(A32)," ",VLOOKUP((A32),SONUC!$A$2:$L$10000,3,FALSE))</f>
        <v xml:space="preserve"> </v>
      </c>
      <c r="E32" s="4" t="str">
        <f>IF(ISBLANK(A32)," ",VLOOKUP((A32),SONUC!$A$2:$L$10000,4,FALSE))</f>
        <v xml:space="preserve"> </v>
      </c>
      <c r="F32" s="4" t="str">
        <f>IF(ISBLANK(A32)," ",VLOOKUP((A32),SONUC!$A$2:$L$10000,5,FALSE))</f>
        <v xml:space="preserve"> </v>
      </c>
      <c r="G32" s="4" t="str">
        <f>IF(ISBLANK(A32)," ",VLOOKUP((A32),SONUC!$A$2:$L$10000,6,FALSE))</f>
        <v xml:space="preserve"> </v>
      </c>
      <c r="H32" s="4" t="str">
        <f>IF(ISBLANK(A32)," ",VLOOKUP((A32),SONUC!$A$2:$L$10000,7,FALSE))</f>
        <v xml:space="preserve"> </v>
      </c>
      <c r="I32" s="4" t="str">
        <f>IF(ISBLANK(A32)," ",VLOOKUP((A32),SONUC!$A$2:$L$10000,8,FALSE))</f>
        <v xml:space="preserve"> </v>
      </c>
      <c r="J32" s="4" t="str">
        <f>IF(ISBLANK(A32)," ",VLOOKUP((A32),SONUC!$A$2:$L$10000,9,FALSE))</f>
        <v xml:space="preserve"> </v>
      </c>
      <c r="K32" s="4" t="str">
        <f>IF(ISBLANK(A32)," ",VLOOKUP((A32),SONUC!$A$2:$L$10000,10,FALSE))</f>
        <v xml:space="preserve"> </v>
      </c>
      <c r="L32" s="4" t="str">
        <f>IF(ISBLANK(A32)," ",VLOOKUP((A32),SONUC!$A$2:$L$10000,11,FALSE))</f>
        <v xml:space="preserve"> </v>
      </c>
      <c r="M32" s="4" t="str">
        <f>IF(ISBLANK(A32)," ",VLOOKUP((A32),SONUC!$A$2:$L$10000,12,FALSE))</f>
        <v xml:space="preserve"> </v>
      </c>
    </row>
    <row r="33" spans="1:13" x14ac:dyDescent="0.25">
      <c r="A33" s="11"/>
      <c r="B33" s="4">
        <v>32</v>
      </c>
      <c r="C33" s="4" t="str">
        <f>IF(ISBLANK(A33)," ",VLOOKUP((A33),SONUC!$A$2:$L$10000,2,FALSE))</f>
        <v xml:space="preserve"> </v>
      </c>
      <c r="D33" s="4" t="str">
        <f>IF(ISBLANK(A33)," ",VLOOKUP((A33),SONUC!$A$2:$L$10000,3,FALSE))</f>
        <v xml:space="preserve"> </v>
      </c>
      <c r="E33" s="4" t="str">
        <f>IF(ISBLANK(A33)," ",VLOOKUP((A33),SONUC!$A$2:$L$10000,4,FALSE))</f>
        <v xml:space="preserve"> </v>
      </c>
      <c r="F33" s="4" t="str">
        <f>IF(ISBLANK(A33)," ",VLOOKUP((A33),SONUC!$A$2:$L$10000,5,FALSE))</f>
        <v xml:space="preserve"> </v>
      </c>
      <c r="G33" s="4" t="str">
        <f>IF(ISBLANK(A33)," ",VLOOKUP((A33),SONUC!$A$2:$L$10000,6,FALSE))</f>
        <v xml:space="preserve"> </v>
      </c>
      <c r="H33" s="4" t="str">
        <f>IF(ISBLANK(A33)," ",VLOOKUP((A33),SONUC!$A$2:$L$10000,7,FALSE))</f>
        <v xml:space="preserve"> </v>
      </c>
      <c r="I33" s="4" t="str">
        <f>IF(ISBLANK(A33)," ",VLOOKUP((A33),SONUC!$A$2:$L$10000,8,FALSE))</f>
        <v xml:space="preserve"> </v>
      </c>
      <c r="J33" s="4" t="str">
        <f>IF(ISBLANK(A33)," ",VLOOKUP((A33),SONUC!$A$2:$L$10000,9,FALSE))</f>
        <v xml:space="preserve"> </v>
      </c>
      <c r="K33" s="4" t="str">
        <f>IF(ISBLANK(A33)," ",VLOOKUP((A33),SONUC!$A$2:$L$10000,10,FALSE))</f>
        <v xml:space="preserve"> </v>
      </c>
      <c r="L33" s="4" t="str">
        <f>IF(ISBLANK(A33)," ",VLOOKUP((A33),SONUC!$A$2:$L$10000,11,FALSE))</f>
        <v xml:space="preserve"> </v>
      </c>
      <c r="M33" s="4" t="str">
        <f>IF(ISBLANK(A33)," ",VLOOKUP((A33),SONUC!$A$2:$L$10000,12,FALSE))</f>
        <v xml:space="preserve"> </v>
      </c>
    </row>
    <row r="34" spans="1:13" x14ac:dyDescent="0.25">
      <c r="A34" s="11"/>
      <c r="B34" s="4">
        <v>33</v>
      </c>
      <c r="C34" s="4" t="str">
        <f>IF(ISBLANK(A34)," ",VLOOKUP((A34),SONUC!$A$2:$L$10000,2,FALSE))</f>
        <v xml:space="preserve"> </v>
      </c>
      <c r="D34" s="4" t="str">
        <f>IF(ISBLANK(A34)," ",VLOOKUP((A34),SONUC!$A$2:$L$10000,3,FALSE))</f>
        <v xml:space="preserve"> </v>
      </c>
      <c r="E34" s="4" t="str">
        <f>IF(ISBLANK(A34)," ",VLOOKUP((A34),SONUC!$A$2:$L$10000,4,FALSE))</f>
        <v xml:space="preserve"> </v>
      </c>
      <c r="F34" s="4" t="str">
        <f>IF(ISBLANK(A34)," ",VLOOKUP((A34),SONUC!$A$2:$L$10000,5,FALSE))</f>
        <v xml:space="preserve"> </v>
      </c>
      <c r="G34" s="4" t="str">
        <f>IF(ISBLANK(A34)," ",VLOOKUP((A34),SONUC!$A$2:$L$10000,6,FALSE))</f>
        <v xml:space="preserve"> </v>
      </c>
      <c r="H34" s="4" t="str">
        <f>IF(ISBLANK(A34)," ",VLOOKUP((A34),SONUC!$A$2:$L$10000,7,FALSE))</f>
        <v xml:space="preserve"> </v>
      </c>
      <c r="I34" s="4" t="str">
        <f>IF(ISBLANK(A34)," ",VLOOKUP((A34),SONUC!$A$2:$L$10000,8,FALSE))</f>
        <v xml:space="preserve"> </v>
      </c>
      <c r="J34" s="4" t="str">
        <f>IF(ISBLANK(A34)," ",VLOOKUP((A34),SONUC!$A$2:$L$10000,9,FALSE))</f>
        <v xml:space="preserve"> </v>
      </c>
      <c r="K34" s="4" t="str">
        <f>IF(ISBLANK(A34)," ",VLOOKUP((A34),SONUC!$A$2:$L$10000,10,FALSE))</f>
        <v xml:space="preserve"> </v>
      </c>
      <c r="L34" s="4" t="str">
        <f>IF(ISBLANK(A34)," ",VLOOKUP((A34),SONUC!$A$2:$L$10000,11,FALSE))</f>
        <v xml:space="preserve"> </v>
      </c>
      <c r="M34" s="4" t="str">
        <f>IF(ISBLANK(A34)," ",VLOOKUP((A34),SONUC!$A$2:$L$10000,12,FALSE))</f>
        <v xml:space="preserve"> </v>
      </c>
    </row>
    <row r="35" spans="1:13" x14ac:dyDescent="0.25">
      <c r="A35" s="8"/>
      <c r="B35" s="4">
        <v>34</v>
      </c>
      <c r="C35" s="4" t="str">
        <f>IF(ISBLANK(A35)," ",VLOOKUP((A35),SONUC!$A$2:$L$10000,2,FALSE))</f>
        <v xml:space="preserve"> </v>
      </c>
      <c r="D35" s="4" t="str">
        <f>IF(ISBLANK(A35)," ",VLOOKUP((A35),SONUC!$A$2:$L$10000,3,FALSE))</f>
        <v xml:space="preserve"> </v>
      </c>
      <c r="E35" s="4" t="str">
        <f>IF(ISBLANK(A35)," ",VLOOKUP((A35),SONUC!$A$2:$L$10000,4,FALSE))</f>
        <v xml:space="preserve"> </v>
      </c>
      <c r="F35" s="4" t="str">
        <f>IF(ISBLANK(A35)," ",VLOOKUP((A35),SONUC!$A$2:$L$10000,5,FALSE))</f>
        <v xml:space="preserve"> </v>
      </c>
      <c r="G35" s="4" t="str">
        <f>IF(ISBLANK(A35)," ",VLOOKUP((A35),SONUC!$A$2:$L$10000,6,FALSE))</f>
        <v xml:space="preserve"> </v>
      </c>
      <c r="H35" s="4" t="str">
        <f>IF(ISBLANK(A35)," ",VLOOKUP((A35),SONUC!$A$2:$L$10000,7,FALSE))</f>
        <v xml:space="preserve"> </v>
      </c>
      <c r="I35" s="4" t="str">
        <f>IF(ISBLANK(A35)," ",VLOOKUP((A35),SONUC!$A$2:$L$10000,8,FALSE))</f>
        <v xml:space="preserve"> </v>
      </c>
      <c r="J35" s="4" t="str">
        <f>IF(ISBLANK(A35)," ",VLOOKUP((A35),SONUC!$A$2:$L$10000,9,FALSE))</f>
        <v xml:space="preserve"> </v>
      </c>
      <c r="K35" s="4" t="str">
        <f>IF(ISBLANK(A35)," ",VLOOKUP((A35),SONUC!$A$2:$L$10000,10,FALSE))</f>
        <v xml:space="preserve"> </v>
      </c>
      <c r="L35" s="4" t="str">
        <f>IF(ISBLANK(A35)," ",VLOOKUP((A35),SONUC!$A$2:$L$10000,11,FALSE))</f>
        <v xml:space="preserve"> </v>
      </c>
      <c r="M35" s="4" t="str">
        <f>IF(ISBLANK(A35)," ",VLOOKUP((A35),SONUC!$A$2:$L$10000,12,FALSE))</f>
        <v xml:space="preserve"> </v>
      </c>
    </row>
    <row r="36" spans="1:13" x14ac:dyDescent="0.25">
      <c r="A36" s="8"/>
      <c r="B36" s="4">
        <v>35</v>
      </c>
      <c r="C36" s="4" t="str">
        <f>IF(ISBLANK(A36)," ",VLOOKUP((A36),SONUC!$A$2:$L$10000,2,FALSE))</f>
        <v xml:space="preserve"> </v>
      </c>
      <c r="D36" s="4" t="str">
        <f>IF(ISBLANK(A36)," ",VLOOKUP((A36),SONUC!$A$2:$L$10000,3,FALSE))</f>
        <v xml:space="preserve"> </v>
      </c>
      <c r="E36" s="4" t="str">
        <f>IF(ISBLANK(A36)," ",VLOOKUP((A36),SONUC!$A$2:$L$10000,4,FALSE))</f>
        <v xml:space="preserve"> </v>
      </c>
      <c r="F36" s="4" t="str">
        <f>IF(ISBLANK(A36)," ",VLOOKUP((A36),SONUC!$A$2:$L$10000,5,FALSE))</f>
        <v xml:space="preserve"> </v>
      </c>
      <c r="G36" s="4" t="str">
        <f>IF(ISBLANK(A36)," ",VLOOKUP((A36),SONUC!$A$2:$L$10000,6,FALSE))</f>
        <v xml:space="preserve"> </v>
      </c>
      <c r="H36" s="4" t="str">
        <f>IF(ISBLANK(A36)," ",VLOOKUP((A36),SONUC!$A$2:$L$10000,7,FALSE))</f>
        <v xml:space="preserve"> </v>
      </c>
      <c r="I36" s="4" t="str">
        <f>IF(ISBLANK(A36)," ",VLOOKUP((A36),SONUC!$A$2:$L$10000,8,FALSE))</f>
        <v xml:space="preserve"> </v>
      </c>
      <c r="J36" s="4" t="str">
        <f>IF(ISBLANK(A36)," ",VLOOKUP((A36),SONUC!$A$2:$L$10000,9,FALSE))</f>
        <v xml:space="preserve"> </v>
      </c>
      <c r="K36" s="4" t="str">
        <f>IF(ISBLANK(A36)," ",VLOOKUP((A36),SONUC!$A$2:$L$10000,10,FALSE))</f>
        <v xml:space="preserve"> </v>
      </c>
      <c r="L36" s="4" t="str">
        <f>IF(ISBLANK(A36)," ",VLOOKUP((A36),SONUC!$A$2:$L$10000,11,FALSE))</f>
        <v xml:space="preserve"> </v>
      </c>
      <c r="M36" s="4" t="str">
        <f>IF(ISBLANK(A36)," ",VLOOKUP((A36),SONUC!$A$2:$L$10000,12,FALSE))</f>
        <v xml:space="preserve"> </v>
      </c>
    </row>
    <row r="37" spans="1:13" x14ac:dyDescent="0.25">
      <c r="A37" s="8"/>
      <c r="B37" s="4">
        <v>36</v>
      </c>
      <c r="C37" s="4" t="str">
        <f>IF(ISBLANK(A37)," ",VLOOKUP((A37),SONUC!$A$2:$L$10000,2,FALSE))</f>
        <v xml:space="preserve"> </v>
      </c>
      <c r="D37" s="4" t="str">
        <f>IF(ISBLANK(A37)," ",VLOOKUP((A37),SONUC!$A$2:$L$10000,3,FALSE))</f>
        <v xml:space="preserve"> </v>
      </c>
      <c r="E37" s="4" t="str">
        <f>IF(ISBLANK(A37)," ",VLOOKUP((A37),SONUC!$A$2:$L$10000,4,FALSE))</f>
        <v xml:space="preserve"> </v>
      </c>
      <c r="F37" s="4" t="str">
        <f>IF(ISBLANK(A37)," ",VLOOKUP((A37),SONUC!$A$2:$L$10000,5,FALSE))</f>
        <v xml:space="preserve"> </v>
      </c>
      <c r="G37" s="4" t="str">
        <f>IF(ISBLANK(A37)," ",VLOOKUP((A37),SONUC!$A$2:$L$10000,6,FALSE))</f>
        <v xml:space="preserve"> </v>
      </c>
      <c r="H37" s="4" t="str">
        <f>IF(ISBLANK(A37)," ",VLOOKUP((A37),SONUC!$A$2:$L$10000,7,FALSE))</f>
        <v xml:space="preserve"> </v>
      </c>
      <c r="I37" s="4" t="str">
        <f>IF(ISBLANK(A37)," ",VLOOKUP((A37),SONUC!$A$2:$L$10000,8,FALSE))</f>
        <v xml:space="preserve"> </v>
      </c>
      <c r="J37" s="4" t="str">
        <f>IF(ISBLANK(A37)," ",VLOOKUP((A37),SONUC!$A$2:$L$10000,9,FALSE))</f>
        <v xml:space="preserve"> </v>
      </c>
      <c r="K37" s="4" t="str">
        <f>IF(ISBLANK(A37)," ",VLOOKUP((A37),SONUC!$A$2:$L$10000,10,FALSE))</f>
        <v xml:space="preserve"> </v>
      </c>
      <c r="L37" s="4" t="str">
        <f>IF(ISBLANK(A37)," ",VLOOKUP((A37),SONUC!$A$2:$L$10000,11,FALSE))</f>
        <v xml:space="preserve"> </v>
      </c>
      <c r="M37" s="4" t="str">
        <f>IF(ISBLANK(A37)," ",VLOOKUP((A37),SONUC!$A$2:$L$10000,12,FALSE))</f>
        <v xml:space="preserve"> </v>
      </c>
    </row>
    <row r="38" spans="1:13" x14ac:dyDescent="0.25">
      <c r="A38" s="8"/>
      <c r="B38" s="4">
        <v>37</v>
      </c>
      <c r="C38" s="4" t="str">
        <f>IF(ISBLANK(A38)," ",VLOOKUP((A38),SONUC!$A$2:$L$10000,2,FALSE))</f>
        <v xml:space="preserve"> </v>
      </c>
      <c r="D38" s="4" t="str">
        <f>IF(ISBLANK(A38)," ",VLOOKUP((A38),SONUC!$A$2:$L$10000,3,FALSE))</f>
        <v xml:space="preserve"> </v>
      </c>
      <c r="E38" s="4" t="str">
        <f>IF(ISBLANK(A38)," ",VLOOKUP((A38),SONUC!$A$2:$L$10000,4,FALSE))</f>
        <v xml:space="preserve"> </v>
      </c>
      <c r="F38" s="4" t="str">
        <f>IF(ISBLANK(A38)," ",VLOOKUP((A38),SONUC!$A$2:$L$10000,5,FALSE))</f>
        <v xml:space="preserve"> </v>
      </c>
      <c r="G38" s="4" t="str">
        <f>IF(ISBLANK(A38)," ",VLOOKUP((A38),SONUC!$A$2:$L$10000,6,FALSE))</f>
        <v xml:space="preserve"> </v>
      </c>
      <c r="H38" s="4" t="str">
        <f>IF(ISBLANK(A38)," ",VLOOKUP((A38),SONUC!$A$2:$L$10000,7,FALSE))</f>
        <v xml:space="preserve"> </v>
      </c>
      <c r="I38" s="4" t="str">
        <f>IF(ISBLANK(A38)," ",VLOOKUP((A38),SONUC!$A$2:$L$10000,8,FALSE))</f>
        <v xml:space="preserve"> </v>
      </c>
      <c r="J38" s="4" t="str">
        <f>IF(ISBLANK(A38)," ",VLOOKUP((A38),SONUC!$A$2:$L$10000,9,FALSE))</f>
        <v xml:space="preserve"> </v>
      </c>
      <c r="K38" s="4" t="str">
        <f>IF(ISBLANK(A38)," ",VLOOKUP((A38),SONUC!$A$2:$L$10000,10,FALSE))</f>
        <v xml:space="preserve"> </v>
      </c>
      <c r="L38" s="4" t="str">
        <f>IF(ISBLANK(A38)," ",VLOOKUP((A38),SONUC!$A$2:$L$10000,11,FALSE))</f>
        <v xml:space="preserve"> </v>
      </c>
      <c r="M38" s="4" t="str">
        <f>IF(ISBLANK(A38)," ",VLOOKUP((A38),SONUC!$A$2:$L$10000,12,FALSE))</f>
        <v xml:space="preserve"> </v>
      </c>
    </row>
    <row r="39" spans="1:13" x14ac:dyDescent="0.25">
      <c r="A39" s="8"/>
      <c r="B39" s="4">
        <v>38</v>
      </c>
      <c r="C39" s="4" t="str">
        <f>IF(ISBLANK(A39)," ",VLOOKUP((A39),SONUC!$A$2:$L$10000,2,FALSE))</f>
        <v xml:space="preserve"> </v>
      </c>
      <c r="D39" s="4" t="str">
        <f>IF(ISBLANK(A39)," ",VLOOKUP((A39),SONUC!$A$2:$L$10000,3,FALSE))</f>
        <v xml:space="preserve"> </v>
      </c>
      <c r="E39" s="4" t="str">
        <f>IF(ISBLANK(A39)," ",VLOOKUP((A39),SONUC!$A$2:$L$10000,4,FALSE))</f>
        <v xml:space="preserve"> </v>
      </c>
      <c r="F39" s="4" t="str">
        <f>IF(ISBLANK(A39)," ",VLOOKUP((A39),SONUC!$A$2:$L$10000,5,FALSE))</f>
        <v xml:space="preserve"> </v>
      </c>
      <c r="G39" s="4" t="str">
        <f>IF(ISBLANK(A39)," ",VLOOKUP((A39),SONUC!$A$2:$L$10000,6,FALSE))</f>
        <v xml:space="preserve"> </v>
      </c>
      <c r="H39" s="4" t="str">
        <f>IF(ISBLANK(A39)," ",VLOOKUP((A39),SONUC!$A$2:$L$10000,7,FALSE))</f>
        <v xml:space="preserve"> </v>
      </c>
      <c r="I39" s="4" t="str">
        <f>IF(ISBLANK(A39)," ",VLOOKUP((A39),SONUC!$A$2:$L$10000,8,FALSE))</f>
        <v xml:space="preserve"> </v>
      </c>
      <c r="J39" s="4" t="str">
        <f>IF(ISBLANK(A39)," ",VLOOKUP((A39),SONUC!$A$2:$L$10000,9,FALSE))</f>
        <v xml:space="preserve"> </v>
      </c>
      <c r="K39" s="4" t="str">
        <f>IF(ISBLANK(A39)," ",VLOOKUP((A39),SONUC!$A$2:$L$10000,10,FALSE))</f>
        <v xml:space="preserve"> </v>
      </c>
      <c r="L39" s="4" t="str">
        <f>IF(ISBLANK(A39)," ",VLOOKUP((A39),SONUC!$A$2:$L$10000,11,FALSE))</f>
        <v xml:space="preserve"> </v>
      </c>
      <c r="M39" s="4" t="str">
        <f>IF(ISBLANK(A39)," ",VLOOKUP((A39),SONUC!$A$2:$L$10000,12,FALSE))</f>
        <v xml:space="preserve"> </v>
      </c>
    </row>
    <row r="40" spans="1:13" x14ac:dyDescent="0.25">
      <c r="A40" s="8"/>
      <c r="B40" s="4">
        <v>39</v>
      </c>
      <c r="C40" s="4" t="str">
        <f>IF(ISBLANK(A40)," ",VLOOKUP((A40),SONUC!$A$2:$L$10000,2,FALSE))</f>
        <v xml:space="preserve"> </v>
      </c>
      <c r="D40" s="4" t="str">
        <f>IF(ISBLANK(A40)," ",VLOOKUP((A40),SONUC!$A$2:$L$10000,3,FALSE))</f>
        <v xml:space="preserve"> </v>
      </c>
      <c r="E40" s="4" t="str">
        <f>IF(ISBLANK(A40)," ",VLOOKUP((A40),SONUC!$A$2:$L$10000,4,FALSE))</f>
        <v xml:space="preserve"> </v>
      </c>
      <c r="F40" s="4" t="str">
        <f>IF(ISBLANK(A40)," ",VLOOKUP((A40),SONUC!$A$2:$L$10000,5,FALSE))</f>
        <v xml:space="preserve"> </v>
      </c>
      <c r="G40" s="4" t="str">
        <f>IF(ISBLANK(A40)," ",VLOOKUP((A40),SONUC!$A$2:$L$10000,6,FALSE))</f>
        <v xml:space="preserve"> </v>
      </c>
      <c r="H40" s="4" t="str">
        <f>IF(ISBLANK(A40)," ",VLOOKUP((A40),SONUC!$A$2:$L$10000,7,FALSE))</f>
        <v xml:space="preserve"> </v>
      </c>
      <c r="I40" s="4" t="str">
        <f>IF(ISBLANK(A40)," ",VLOOKUP((A40),SONUC!$A$2:$L$10000,8,FALSE))</f>
        <v xml:space="preserve"> </v>
      </c>
      <c r="J40" s="4" t="str">
        <f>IF(ISBLANK(A40)," ",VLOOKUP((A40),SONUC!$A$2:$L$10000,9,FALSE))</f>
        <v xml:space="preserve"> </v>
      </c>
      <c r="K40" s="4" t="str">
        <f>IF(ISBLANK(A40)," ",VLOOKUP((A40),SONUC!$A$2:$L$10000,10,FALSE))</f>
        <v xml:space="preserve"> </v>
      </c>
      <c r="L40" s="4" t="str">
        <f>IF(ISBLANK(A40)," ",VLOOKUP((A40),SONUC!$A$2:$L$10000,11,FALSE))</f>
        <v xml:space="preserve"> </v>
      </c>
      <c r="M40" s="4" t="str">
        <f>IF(ISBLANK(A40)," ",VLOOKUP((A40),SONUC!$A$2:$L$10000,12,FALSE))</f>
        <v xml:space="preserve"> </v>
      </c>
    </row>
    <row r="41" spans="1:13" x14ac:dyDescent="0.25">
      <c r="A41" s="8"/>
      <c r="B41" s="4">
        <v>40</v>
      </c>
      <c r="C41" s="4" t="str">
        <f>IF(ISBLANK(A41)," ",VLOOKUP((A41),SONUC!$A$2:$L$10000,2,FALSE))</f>
        <v xml:space="preserve"> </v>
      </c>
      <c r="D41" s="4" t="str">
        <f>IF(ISBLANK(A41)," ",VLOOKUP((A41),SONUC!$A$2:$L$10000,3,FALSE))</f>
        <v xml:space="preserve"> </v>
      </c>
      <c r="E41" s="4" t="str">
        <f>IF(ISBLANK(A41)," ",VLOOKUP((A41),SONUC!$A$2:$L$10000,4,FALSE))</f>
        <v xml:space="preserve"> </v>
      </c>
      <c r="F41" s="4" t="str">
        <f>IF(ISBLANK(A41)," ",VLOOKUP((A41),SONUC!$A$2:$L$10000,5,FALSE))</f>
        <v xml:space="preserve"> </v>
      </c>
      <c r="G41" s="4" t="str">
        <f>IF(ISBLANK(A41)," ",VLOOKUP((A41),SONUC!$A$2:$L$10000,6,FALSE))</f>
        <v xml:space="preserve"> </v>
      </c>
      <c r="H41" s="4" t="str">
        <f>IF(ISBLANK(A41)," ",VLOOKUP((A41),SONUC!$A$2:$L$10000,7,FALSE))</f>
        <v xml:space="preserve"> </v>
      </c>
      <c r="I41" s="4" t="str">
        <f>IF(ISBLANK(A41)," ",VLOOKUP((A41),SONUC!$A$2:$L$10000,8,FALSE))</f>
        <v xml:space="preserve"> </v>
      </c>
      <c r="J41" s="4" t="str">
        <f>IF(ISBLANK(A41)," ",VLOOKUP((A41),SONUC!$A$2:$L$10000,9,FALSE))</f>
        <v xml:space="preserve"> </v>
      </c>
      <c r="K41" s="4" t="str">
        <f>IF(ISBLANK(A41)," ",VLOOKUP((A41),SONUC!$A$2:$L$10000,10,FALSE))</f>
        <v xml:space="preserve"> </v>
      </c>
      <c r="L41" s="4" t="str">
        <f>IF(ISBLANK(A41)," ",VLOOKUP((A41),SONUC!$A$2:$L$10000,11,FALSE))</f>
        <v xml:space="preserve"> </v>
      </c>
      <c r="M41" s="4" t="str">
        <f>IF(ISBLANK(A41)," ",VLOOKUP((A41),SONUC!$A$2:$L$10000,12,FALSE))</f>
        <v xml:space="preserve"> </v>
      </c>
    </row>
    <row r="42" spans="1:13" x14ac:dyDescent="0.25">
      <c r="A42" s="8"/>
      <c r="B42" s="4">
        <v>41</v>
      </c>
      <c r="C42" s="4" t="str">
        <f>IF(ISBLANK(A42)," ",VLOOKUP((A42),SONUC!$A$2:$L$10000,2,FALSE))</f>
        <v xml:space="preserve"> </v>
      </c>
      <c r="D42" s="4" t="str">
        <f>IF(ISBLANK(A42)," ",VLOOKUP((A42),SONUC!$A$2:$L$10000,3,FALSE))</f>
        <v xml:space="preserve"> </v>
      </c>
      <c r="E42" s="4" t="str">
        <f>IF(ISBLANK(A42)," ",VLOOKUP((A42),SONUC!$A$2:$L$10000,4,FALSE))</f>
        <v xml:space="preserve"> </v>
      </c>
      <c r="F42" s="4" t="str">
        <f>IF(ISBLANK(A42)," ",VLOOKUP((A42),SONUC!$A$2:$L$10000,5,FALSE))</f>
        <v xml:space="preserve"> </v>
      </c>
      <c r="G42" s="4" t="str">
        <f>IF(ISBLANK(A42)," ",VLOOKUP((A42),SONUC!$A$2:$L$10000,6,FALSE))</f>
        <v xml:space="preserve"> </v>
      </c>
      <c r="H42" s="4" t="str">
        <f>IF(ISBLANK(A42)," ",VLOOKUP((A42),SONUC!$A$2:$L$10000,7,FALSE))</f>
        <v xml:space="preserve"> </v>
      </c>
      <c r="I42" s="4" t="str">
        <f>IF(ISBLANK(A42)," ",VLOOKUP((A42),SONUC!$A$2:$L$10000,8,FALSE))</f>
        <v xml:space="preserve"> </v>
      </c>
      <c r="J42" s="4" t="str">
        <f>IF(ISBLANK(A42)," ",VLOOKUP((A42),SONUC!$A$2:$L$10000,9,FALSE))</f>
        <v xml:space="preserve"> </v>
      </c>
      <c r="K42" s="4" t="str">
        <f>IF(ISBLANK(A42)," ",VLOOKUP((A42),SONUC!$A$2:$L$10000,10,FALSE))</f>
        <v xml:space="preserve"> </v>
      </c>
      <c r="L42" s="4" t="str">
        <f>IF(ISBLANK(A42)," ",VLOOKUP((A42),SONUC!$A$2:$L$10000,11,FALSE))</f>
        <v xml:space="preserve"> </v>
      </c>
      <c r="M42" s="4" t="str">
        <f>IF(ISBLANK(A42)," ",VLOOKUP((A42),SONUC!$A$2:$L$10000,12,FALSE))</f>
        <v xml:space="preserve"> </v>
      </c>
    </row>
    <row r="43" spans="1:13" x14ac:dyDescent="0.25">
      <c r="A43" s="8"/>
      <c r="B43" s="4">
        <v>42</v>
      </c>
      <c r="C43" s="4" t="str">
        <f>IF(ISBLANK(A43)," ",VLOOKUP((A43),SONUC!$A$2:$L$10000,2,FALSE))</f>
        <v xml:space="preserve"> </v>
      </c>
      <c r="D43" s="4" t="str">
        <f>IF(ISBLANK(A43)," ",VLOOKUP((A43),SONUC!$A$2:$L$10000,3,FALSE))</f>
        <v xml:space="preserve"> </v>
      </c>
      <c r="E43" s="4" t="str">
        <f>IF(ISBLANK(A43)," ",VLOOKUP((A43),SONUC!$A$2:$L$10000,4,FALSE))</f>
        <v xml:space="preserve"> </v>
      </c>
      <c r="F43" s="4" t="str">
        <f>IF(ISBLANK(A43)," ",VLOOKUP((A43),SONUC!$A$2:$L$10000,5,FALSE))</f>
        <v xml:space="preserve"> </v>
      </c>
      <c r="G43" s="4" t="str">
        <f>IF(ISBLANK(A43)," ",VLOOKUP((A43),SONUC!$A$2:$L$10000,6,FALSE))</f>
        <v xml:space="preserve"> </v>
      </c>
      <c r="H43" s="4" t="str">
        <f>IF(ISBLANK(A43)," ",VLOOKUP((A43),SONUC!$A$2:$L$10000,7,FALSE))</f>
        <v xml:space="preserve"> </v>
      </c>
      <c r="I43" s="4" t="str">
        <f>IF(ISBLANK(A43)," ",VLOOKUP((A43),SONUC!$A$2:$L$10000,8,FALSE))</f>
        <v xml:space="preserve"> </v>
      </c>
      <c r="J43" s="4" t="str">
        <f>IF(ISBLANK(A43)," ",VLOOKUP((A43),SONUC!$A$2:$L$10000,9,FALSE))</f>
        <v xml:space="preserve"> </v>
      </c>
      <c r="K43" s="4" t="str">
        <f>IF(ISBLANK(A43)," ",VLOOKUP((A43),SONUC!$A$2:$L$10000,10,FALSE))</f>
        <v xml:space="preserve"> </v>
      </c>
      <c r="L43" s="4" t="str">
        <f>IF(ISBLANK(A43)," ",VLOOKUP((A43),SONUC!$A$2:$L$10000,11,FALSE))</f>
        <v xml:space="preserve"> </v>
      </c>
      <c r="M43" s="4" t="str">
        <f>IF(ISBLANK(A43)," ",VLOOKUP((A43),SONUC!$A$2:$L$10000,12,FALSE))</f>
        <v xml:space="preserve"> </v>
      </c>
    </row>
    <row r="44" spans="1:13" x14ac:dyDescent="0.25">
      <c r="A44" s="8"/>
      <c r="B44" s="4">
        <v>43</v>
      </c>
      <c r="C44" s="4" t="str">
        <f>IF(ISBLANK(A44)," ",VLOOKUP((A44),SONUC!$A$2:$L$10000,2,FALSE))</f>
        <v xml:space="preserve"> </v>
      </c>
      <c r="D44" s="4" t="str">
        <f>IF(ISBLANK(A44)," ",VLOOKUP((A44),SONUC!$A$2:$L$10000,3,FALSE))</f>
        <v xml:space="preserve"> </v>
      </c>
      <c r="E44" s="4" t="str">
        <f>IF(ISBLANK(A44)," ",VLOOKUP((A44),SONUC!$A$2:$L$10000,4,FALSE))</f>
        <v xml:space="preserve"> </v>
      </c>
      <c r="F44" s="4" t="str">
        <f>IF(ISBLANK(A44)," ",VLOOKUP((A44),SONUC!$A$2:$L$10000,5,FALSE))</f>
        <v xml:space="preserve"> </v>
      </c>
      <c r="G44" s="4" t="str">
        <f>IF(ISBLANK(A44)," ",VLOOKUP((A44),SONUC!$A$2:$L$10000,6,FALSE))</f>
        <v xml:space="preserve"> </v>
      </c>
      <c r="H44" s="4" t="str">
        <f>IF(ISBLANK(A44)," ",VLOOKUP((A44),SONUC!$A$2:$L$10000,7,FALSE))</f>
        <v xml:space="preserve"> </v>
      </c>
      <c r="I44" s="4" t="str">
        <f>IF(ISBLANK(A44)," ",VLOOKUP((A44),SONUC!$A$2:$L$10000,8,FALSE))</f>
        <v xml:space="preserve"> </v>
      </c>
      <c r="J44" s="4" t="str">
        <f>IF(ISBLANK(A44)," ",VLOOKUP((A44),SONUC!$A$2:$L$10000,9,FALSE))</f>
        <v xml:space="preserve"> </v>
      </c>
      <c r="K44" s="4" t="str">
        <f>IF(ISBLANK(A44)," ",VLOOKUP((A44),SONUC!$A$2:$L$10000,10,FALSE))</f>
        <v xml:space="preserve"> </v>
      </c>
      <c r="L44" s="4" t="str">
        <f>IF(ISBLANK(A44)," ",VLOOKUP((A44),SONUC!$A$2:$L$10000,11,FALSE))</f>
        <v xml:space="preserve"> </v>
      </c>
      <c r="M44" s="4" t="str">
        <f>IF(ISBLANK(A44)," ",VLOOKUP((A44),SONUC!$A$2:$L$10000,12,FALSE))</f>
        <v xml:space="preserve"> </v>
      </c>
    </row>
    <row r="45" spans="1:13" x14ac:dyDescent="0.25">
      <c r="A45" s="8"/>
      <c r="B45" s="4">
        <v>44</v>
      </c>
      <c r="C45" s="4" t="str">
        <f>IF(ISBLANK(A45)," ",VLOOKUP((A45),SONUC!$A$2:$L$10000,2,FALSE))</f>
        <v xml:space="preserve"> </v>
      </c>
      <c r="D45" s="4" t="str">
        <f>IF(ISBLANK(A45)," ",VLOOKUP((A45),SONUC!$A$2:$L$10000,3,FALSE))</f>
        <v xml:space="preserve"> </v>
      </c>
      <c r="E45" s="4" t="str">
        <f>IF(ISBLANK(A45)," ",VLOOKUP((A45),SONUC!$A$2:$L$10000,4,FALSE))</f>
        <v xml:space="preserve"> </v>
      </c>
      <c r="F45" s="4" t="str">
        <f>IF(ISBLANK(A45)," ",VLOOKUP((A45),SONUC!$A$2:$L$10000,5,FALSE))</f>
        <v xml:space="preserve"> </v>
      </c>
      <c r="G45" s="4" t="str">
        <f>IF(ISBLANK(A45)," ",VLOOKUP((A45),SONUC!$A$2:$L$10000,6,FALSE))</f>
        <v xml:space="preserve"> </v>
      </c>
      <c r="H45" s="4" t="str">
        <f>IF(ISBLANK(A45)," ",VLOOKUP((A45),SONUC!$A$2:$L$10000,7,FALSE))</f>
        <v xml:space="preserve"> </v>
      </c>
      <c r="I45" s="4" t="str">
        <f>IF(ISBLANK(A45)," ",VLOOKUP((A45),SONUC!$A$2:$L$10000,8,FALSE))</f>
        <v xml:space="preserve"> </v>
      </c>
      <c r="J45" s="4" t="str">
        <f>IF(ISBLANK(A45)," ",VLOOKUP((A45),SONUC!$A$2:$L$10000,9,FALSE))</f>
        <v xml:space="preserve"> </v>
      </c>
      <c r="K45" s="4" t="str">
        <f>IF(ISBLANK(A45)," ",VLOOKUP((A45),SONUC!$A$2:$L$10000,10,FALSE))</f>
        <v xml:space="preserve"> </v>
      </c>
      <c r="L45" s="4" t="str">
        <f>IF(ISBLANK(A45)," ",VLOOKUP((A45),SONUC!$A$2:$L$10000,11,FALSE))</f>
        <v xml:space="preserve"> </v>
      </c>
      <c r="M45" s="4" t="str">
        <f>IF(ISBLANK(A45)," ",VLOOKUP((A45),SONUC!$A$2:$L$10000,12,FALSE))</f>
        <v xml:space="preserve"> </v>
      </c>
    </row>
    <row r="46" spans="1:13" x14ac:dyDescent="0.25">
      <c r="A46" s="8"/>
      <c r="B46" s="4">
        <v>45</v>
      </c>
      <c r="C46" s="4" t="str">
        <f>IF(ISBLANK(A46)," ",VLOOKUP((A46),SONUC!$A$2:$L$10000,2,FALSE))</f>
        <v xml:space="preserve"> </v>
      </c>
      <c r="D46" s="4" t="str">
        <f>IF(ISBLANK(A46)," ",VLOOKUP((A46),SONUC!$A$2:$L$10000,3,FALSE))</f>
        <v xml:space="preserve"> </v>
      </c>
      <c r="E46" s="4" t="str">
        <f>IF(ISBLANK(A46)," ",VLOOKUP((A46),SONUC!$A$2:$L$10000,4,FALSE))</f>
        <v xml:space="preserve"> </v>
      </c>
      <c r="F46" s="4" t="str">
        <f>IF(ISBLANK(A46)," ",VLOOKUP((A46),SONUC!$A$2:$L$10000,5,FALSE))</f>
        <v xml:space="preserve"> </v>
      </c>
      <c r="G46" s="4" t="str">
        <f>IF(ISBLANK(A46)," ",VLOOKUP((A46),SONUC!$A$2:$L$10000,6,FALSE))</f>
        <v xml:space="preserve"> </v>
      </c>
      <c r="H46" s="4" t="str">
        <f>IF(ISBLANK(A46)," ",VLOOKUP((A46),SONUC!$A$2:$L$10000,7,FALSE))</f>
        <v xml:space="preserve"> </v>
      </c>
      <c r="I46" s="4" t="str">
        <f>IF(ISBLANK(A46)," ",VLOOKUP((A46),SONUC!$A$2:$L$10000,8,FALSE))</f>
        <v xml:space="preserve"> </v>
      </c>
      <c r="J46" s="4" t="str">
        <f>IF(ISBLANK(A46)," ",VLOOKUP((A46),SONUC!$A$2:$L$10000,9,FALSE))</f>
        <v xml:space="preserve"> </v>
      </c>
      <c r="K46" s="4" t="str">
        <f>IF(ISBLANK(A46)," ",VLOOKUP((A46),SONUC!$A$2:$L$10000,10,FALSE))</f>
        <v xml:space="preserve"> </v>
      </c>
      <c r="L46" s="4" t="str">
        <f>IF(ISBLANK(A46)," ",VLOOKUP((A46),SONUC!$A$2:$L$10000,11,FALSE))</f>
        <v xml:space="preserve"> </v>
      </c>
      <c r="M46" s="4" t="str">
        <f>IF(ISBLANK(A46)," ",VLOOKUP((A46),SONUC!$A$2:$L$10000,12,FALSE))</f>
        <v xml:space="preserve"> </v>
      </c>
    </row>
    <row r="47" spans="1:13" x14ac:dyDescent="0.25">
      <c r="A47" s="8"/>
      <c r="B47" s="4">
        <v>46</v>
      </c>
      <c r="C47" s="4" t="str">
        <f>IF(ISBLANK(A47)," ",VLOOKUP((A47),SONUC!$A$2:$L$10000,2,FALSE))</f>
        <v xml:space="preserve"> </v>
      </c>
      <c r="D47" s="4" t="str">
        <f>IF(ISBLANK(A47)," ",VLOOKUP((A47),SONUC!$A$2:$L$10000,3,FALSE))</f>
        <v xml:space="preserve"> </v>
      </c>
      <c r="E47" s="4" t="str">
        <f>IF(ISBLANK(A47)," ",VLOOKUP((A47),SONUC!$A$2:$L$10000,4,FALSE))</f>
        <v xml:space="preserve"> </v>
      </c>
      <c r="F47" s="4" t="str">
        <f>IF(ISBLANK(A47)," ",VLOOKUP((A47),SONUC!$A$2:$L$10000,5,FALSE))</f>
        <v xml:space="preserve"> </v>
      </c>
      <c r="G47" s="4" t="str">
        <f>IF(ISBLANK(A47)," ",VLOOKUP((A47),SONUC!$A$2:$L$10000,6,FALSE))</f>
        <v xml:space="preserve"> </v>
      </c>
      <c r="H47" s="4" t="str">
        <f>IF(ISBLANK(A47)," ",VLOOKUP((A47),SONUC!$A$2:$L$10000,7,FALSE))</f>
        <v xml:space="preserve"> </v>
      </c>
      <c r="I47" s="4" t="str">
        <f>IF(ISBLANK(A47)," ",VLOOKUP((A47),SONUC!$A$2:$L$10000,8,FALSE))</f>
        <v xml:space="preserve"> </v>
      </c>
      <c r="J47" s="4" t="str">
        <f>IF(ISBLANK(A47)," ",VLOOKUP((A47),SONUC!$A$2:$L$10000,9,FALSE))</f>
        <v xml:space="preserve"> </v>
      </c>
      <c r="K47" s="4" t="str">
        <f>IF(ISBLANK(A47)," ",VLOOKUP((A47),SONUC!$A$2:$L$10000,10,FALSE))</f>
        <v xml:space="preserve"> </v>
      </c>
      <c r="L47" s="4" t="str">
        <f>IF(ISBLANK(A47)," ",VLOOKUP((A47),SONUC!$A$2:$L$10000,11,FALSE))</f>
        <v xml:space="preserve"> </v>
      </c>
      <c r="M47" s="4" t="str">
        <f>IF(ISBLANK(A47)," ",VLOOKUP((A47),SONUC!$A$2:$L$10000,12,FALSE))</f>
        <v xml:space="preserve"> </v>
      </c>
    </row>
    <row r="48" spans="1:13" x14ac:dyDescent="0.25">
      <c r="A48" s="8"/>
      <c r="B48" s="4">
        <v>47</v>
      </c>
      <c r="C48" s="4" t="str">
        <f>IF(ISBLANK(A48)," ",VLOOKUP((A48),SONUC!$A$2:$L$10000,2,FALSE))</f>
        <v xml:space="preserve"> </v>
      </c>
      <c r="D48" s="4" t="str">
        <f>IF(ISBLANK(A48)," ",VLOOKUP((A48),SONUC!$A$2:$L$10000,3,FALSE))</f>
        <v xml:space="preserve"> </v>
      </c>
      <c r="E48" s="4" t="str">
        <f>IF(ISBLANK(A48)," ",VLOOKUP((A48),SONUC!$A$2:$L$10000,4,FALSE))</f>
        <v xml:space="preserve"> </v>
      </c>
      <c r="F48" s="4" t="str">
        <f>IF(ISBLANK(A48)," ",VLOOKUP((A48),SONUC!$A$2:$L$10000,5,FALSE))</f>
        <v xml:space="preserve"> </v>
      </c>
      <c r="G48" s="4" t="str">
        <f>IF(ISBLANK(A48)," ",VLOOKUP((A48),SONUC!$A$2:$L$10000,6,FALSE))</f>
        <v xml:space="preserve"> </v>
      </c>
      <c r="H48" s="4" t="str">
        <f>IF(ISBLANK(A48)," ",VLOOKUP((A48),SONUC!$A$2:$L$10000,7,FALSE))</f>
        <v xml:space="preserve"> </v>
      </c>
      <c r="I48" s="4" t="str">
        <f>IF(ISBLANK(A48)," ",VLOOKUP((A48),SONUC!$A$2:$L$10000,8,FALSE))</f>
        <v xml:space="preserve"> </v>
      </c>
      <c r="J48" s="4" t="str">
        <f>IF(ISBLANK(A48)," ",VLOOKUP((A48),SONUC!$A$2:$L$10000,9,FALSE))</f>
        <v xml:space="preserve"> </v>
      </c>
      <c r="K48" s="4" t="str">
        <f>IF(ISBLANK(A48)," ",VLOOKUP((A48),SONUC!$A$2:$L$10000,10,FALSE))</f>
        <v xml:space="preserve"> </v>
      </c>
      <c r="L48" s="4" t="str">
        <f>IF(ISBLANK(A48)," ",VLOOKUP((A48),SONUC!$A$2:$L$10000,11,FALSE))</f>
        <v xml:space="preserve"> </v>
      </c>
      <c r="M48" s="4" t="str">
        <f>IF(ISBLANK(A48)," ",VLOOKUP((A48),SONUC!$A$2:$L$10000,12,FALSE))</f>
        <v xml:space="preserve"> </v>
      </c>
    </row>
    <row r="49" spans="1:13" x14ac:dyDescent="0.25">
      <c r="A49" s="8"/>
      <c r="B49" s="4">
        <v>48</v>
      </c>
      <c r="C49" s="4" t="str">
        <f>IF(ISBLANK(A49)," ",VLOOKUP((A49),SONUC!$A$2:$L$10000,2,FALSE))</f>
        <v xml:space="preserve"> </v>
      </c>
      <c r="D49" s="4" t="str">
        <f>IF(ISBLANK(A49)," ",VLOOKUP((A49),SONUC!$A$2:$L$10000,3,FALSE))</f>
        <v xml:space="preserve"> </v>
      </c>
      <c r="E49" s="4" t="str">
        <f>IF(ISBLANK(A49)," ",VLOOKUP((A49),SONUC!$A$2:$L$10000,4,FALSE))</f>
        <v xml:space="preserve"> </v>
      </c>
      <c r="F49" s="4" t="str">
        <f>IF(ISBLANK(A49)," ",VLOOKUP((A49),SONUC!$A$2:$L$10000,5,FALSE))</f>
        <v xml:space="preserve"> </v>
      </c>
      <c r="G49" s="4" t="str">
        <f>IF(ISBLANK(A49)," ",VLOOKUP((A49),SONUC!$A$2:$L$10000,6,FALSE))</f>
        <v xml:space="preserve"> </v>
      </c>
      <c r="H49" s="4" t="str">
        <f>IF(ISBLANK(A49)," ",VLOOKUP((A49),SONUC!$A$2:$L$10000,7,FALSE))</f>
        <v xml:space="preserve"> </v>
      </c>
      <c r="I49" s="4" t="str">
        <f>IF(ISBLANK(A49)," ",VLOOKUP((A49),SONUC!$A$2:$L$10000,8,FALSE))</f>
        <v xml:space="preserve"> </v>
      </c>
      <c r="J49" s="4" t="str">
        <f>IF(ISBLANK(A49)," ",VLOOKUP((A49),SONUC!$A$2:$L$10000,9,FALSE))</f>
        <v xml:space="preserve"> </v>
      </c>
      <c r="K49" s="4" t="str">
        <f>IF(ISBLANK(A49)," ",VLOOKUP((A49),SONUC!$A$2:$L$10000,10,FALSE))</f>
        <v xml:space="preserve"> </v>
      </c>
      <c r="L49" s="4" t="str">
        <f>IF(ISBLANK(A49)," ",VLOOKUP((A49),SONUC!$A$2:$L$10000,11,FALSE))</f>
        <v xml:space="preserve"> </v>
      </c>
      <c r="M49" s="4" t="str">
        <f>IF(ISBLANK(A49)," ",VLOOKUP((A49),SONUC!$A$2:$L$10000,12,FALSE))</f>
        <v xml:space="preserve"> </v>
      </c>
    </row>
    <row r="50" spans="1:13" x14ac:dyDescent="0.25">
      <c r="A50" s="8"/>
      <c r="B50" s="4">
        <v>49</v>
      </c>
      <c r="C50" s="4" t="str">
        <f>IF(ISBLANK(A50)," ",VLOOKUP((A50),SONUC!$A$2:$L$10000,2,FALSE))</f>
        <v xml:space="preserve"> </v>
      </c>
      <c r="D50" s="4" t="str">
        <f>IF(ISBLANK(A50)," ",VLOOKUP((A50),SONUC!$A$2:$L$10000,3,FALSE))</f>
        <v xml:space="preserve"> </v>
      </c>
      <c r="E50" s="4" t="str">
        <f>IF(ISBLANK(A50)," ",VLOOKUP((A50),SONUC!$A$2:$L$10000,4,FALSE))</f>
        <v xml:space="preserve"> </v>
      </c>
      <c r="F50" s="4" t="str">
        <f>IF(ISBLANK(A50)," ",VLOOKUP((A50),SONUC!$A$2:$L$10000,5,FALSE))</f>
        <v xml:space="preserve"> </v>
      </c>
      <c r="G50" s="4" t="str">
        <f>IF(ISBLANK(A50)," ",VLOOKUP((A50),SONUC!$A$2:$L$10000,6,FALSE))</f>
        <v xml:space="preserve"> </v>
      </c>
      <c r="H50" s="4" t="str">
        <f>IF(ISBLANK(A50)," ",VLOOKUP((A50),SONUC!$A$2:$L$10000,7,FALSE))</f>
        <v xml:space="preserve"> </v>
      </c>
      <c r="I50" s="4" t="str">
        <f>IF(ISBLANK(A50)," ",VLOOKUP((A50),SONUC!$A$2:$L$10000,8,FALSE))</f>
        <v xml:space="preserve"> </v>
      </c>
      <c r="J50" s="4" t="str">
        <f>IF(ISBLANK(A50)," ",VLOOKUP((A50),SONUC!$A$2:$L$10000,9,FALSE))</f>
        <v xml:space="preserve"> </v>
      </c>
      <c r="K50" s="4" t="str">
        <f>IF(ISBLANK(A50)," ",VLOOKUP((A50),SONUC!$A$2:$L$10000,10,FALSE))</f>
        <v xml:space="preserve"> </v>
      </c>
      <c r="L50" s="4" t="str">
        <f>IF(ISBLANK(A50)," ",VLOOKUP((A50),SONUC!$A$2:$L$10000,11,FALSE))</f>
        <v xml:space="preserve"> </v>
      </c>
      <c r="M50" s="4" t="str">
        <f>IF(ISBLANK(A50)," ",VLOOKUP((A50),SONUC!$A$2:$L$10000,12,FALSE))</f>
        <v xml:space="preserve"> </v>
      </c>
    </row>
    <row r="51" spans="1:13" x14ac:dyDescent="0.25">
      <c r="A51" s="8"/>
      <c r="B51" s="4">
        <v>50</v>
      </c>
      <c r="C51" s="4" t="str">
        <f>IF(ISBLANK(A51)," ",VLOOKUP((A51),SONUC!$A$2:$L$10000,2,FALSE))</f>
        <v xml:space="preserve"> </v>
      </c>
      <c r="D51" s="4" t="str">
        <f>IF(ISBLANK(A51)," ",VLOOKUP((A51),SONUC!$A$2:$L$10000,3,FALSE))</f>
        <v xml:space="preserve"> </v>
      </c>
      <c r="E51" s="4" t="str">
        <f>IF(ISBLANK(A51)," ",VLOOKUP((A51),SONUC!$A$2:$L$10000,4,FALSE))</f>
        <v xml:space="preserve"> </v>
      </c>
      <c r="F51" s="4" t="str">
        <f>IF(ISBLANK(A51)," ",VLOOKUP((A51),SONUC!$A$2:$L$10000,5,FALSE))</f>
        <v xml:space="preserve"> </v>
      </c>
      <c r="G51" s="4" t="str">
        <f>IF(ISBLANK(A51)," ",VLOOKUP((A51),SONUC!$A$2:$L$10000,6,FALSE))</f>
        <v xml:space="preserve"> </v>
      </c>
      <c r="H51" s="4" t="str">
        <f>IF(ISBLANK(A51)," ",VLOOKUP((A51),SONUC!$A$2:$L$10000,7,FALSE))</f>
        <v xml:space="preserve"> </v>
      </c>
      <c r="I51" s="4" t="str">
        <f>IF(ISBLANK(A51)," ",VLOOKUP((A51),SONUC!$A$2:$L$10000,8,FALSE))</f>
        <v xml:space="preserve"> </v>
      </c>
      <c r="J51" s="4" t="str">
        <f>IF(ISBLANK(A51)," ",VLOOKUP((A51),SONUC!$A$2:$L$10000,9,FALSE))</f>
        <v xml:space="preserve"> </v>
      </c>
      <c r="K51" s="4" t="str">
        <f>IF(ISBLANK(A51)," ",VLOOKUP((A51),SONUC!$A$2:$L$10000,10,FALSE))</f>
        <v xml:space="preserve"> </v>
      </c>
      <c r="L51" s="4" t="str">
        <f>IF(ISBLANK(A51)," ",VLOOKUP((A51),SONUC!$A$2:$L$10000,11,FALSE))</f>
        <v xml:space="preserve"> </v>
      </c>
      <c r="M51" s="4" t="str">
        <f>IF(ISBLANK(A51)," ",VLOOKUP((A51),SONUC!$A$2:$L$10000,12,FALSE))</f>
        <v xml:space="preserve"> </v>
      </c>
    </row>
    <row r="52" spans="1:13" x14ac:dyDescent="0.25">
      <c r="A52" s="8"/>
      <c r="B52" s="4">
        <v>51</v>
      </c>
      <c r="C52" s="4" t="str">
        <f>IF(ISBLANK(A52)," ",VLOOKUP((A52),SONUC!$A$2:$L$10000,2,FALSE))</f>
        <v xml:space="preserve"> </v>
      </c>
      <c r="D52" s="4" t="str">
        <f>IF(ISBLANK(A52)," ",VLOOKUP((A52),SONUC!$A$2:$L$10000,3,FALSE))</f>
        <v xml:space="preserve"> </v>
      </c>
      <c r="E52" s="4" t="str">
        <f>IF(ISBLANK(A52)," ",VLOOKUP((A52),SONUC!$A$2:$L$10000,4,FALSE))</f>
        <v xml:space="preserve"> </v>
      </c>
      <c r="F52" s="4" t="str">
        <f>IF(ISBLANK(A52)," ",VLOOKUP((A52),SONUC!$A$2:$L$10000,5,FALSE))</f>
        <v xml:space="preserve"> </v>
      </c>
      <c r="G52" s="4" t="str">
        <f>IF(ISBLANK(A52)," ",VLOOKUP((A52),SONUC!$A$2:$L$10000,6,FALSE))</f>
        <v xml:space="preserve"> </v>
      </c>
      <c r="H52" s="4" t="str">
        <f>IF(ISBLANK(A52)," ",VLOOKUP((A52),SONUC!$A$2:$L$10000,7,FALSE))</f>
        <v xml:space="preserve"> </v>
      </c>
      <c r="I52" s="4" t="str">
        <f>IF(ISBLANK(A52)," ",VLOOKUP((A52),SONUC!$A$2:$L$10000,8,FALSE))</f>
        <v xml:space="preserve"> </v>
      </c>
      <c r="J52" s="4" t="str">
        <f>IF(ISBLANK(A52)," ",VLOOKUP((A52),SONUC!$A$2:$L$10000,9,FALSE))</f>
        <v xml:space="preserve"> </v>
      </c>
      <c r="K52" s="4" t="str">
        <f>IF(ISBLANK(A52)," ",VLOOKUP((A52),SONUC!$A$2:$L$10000,10,FALSE))</f>
        <v xml:space="preserve"> </v>
      </c>
      <c r="L52" s="4" t="str">
        <f>IF(ISBLANK(A52)," ",VLOOKUP((A52),SONUC!$A$2:$L$10000,11,FALSE))</f>
        <v xml:space="preserve"> </v>
      </c>
      <c r="M52" s="4" t="str">
        <f>IF(ISBLANK(A52)," ",VLOOKUP((A52),SONUC!$A$2:$L$10000,12,FALSE))</f>
        <v xml:space="preserve"> </v>
      </c>
    </row>
    <row r="53" spans="1:13" x14ac:dyDescent="0.25">
      <c r="A53" s="8"/>
      <c r="B53" s="4">
        <v>52</v>
      </c>
      <c r="C53" s="4" t="str">
        <f>IF(ISBLANK(A53)," ",VLOOKUP((A53),SONUC!$A$2:$L$10000,2,FALSE))</f>
        <v xml:space="preserve"> </v>
      </c>
      <c r="D53" s="4" t="str">
        <f>IF(ISBLANK(A53)," ",VLOOKUP((A53),SONUC!$A$2:$L$10000,3,FALSE))</f>
        <v xml:space="preserve"> </v>
      </c>
      <c r="E53" s="4" t="str">
        <f>IF(ISBLANK(A53)," ",VLOOKUP((A53),SONUC!$A$2:$L$10000,4,FALSE))</f>
        <v xml:space="preserve"> </v>
      </c>
      <c r="F53" s="4" t="str">
        <f>IF(ISBLANK(A53)," ",VLOOKUP((A53),SONUC!$A$2:$L$10000,5,FALSE))</f>
        <v xml:space="preserve"> </v>
      </c>
      <c r="G53" s="4" t="str">
        <f>IF(ISBLANK(A53)," ",VLOOKUP((A53),SONUC!$A$2:$L$10000,6,FALSE))</f>
        <v xml:space="preserve"> </v>
      </c>
      <c r="H53" s="4" t="str">
        <f>IF(ISBLANK(A53)," ",VLOOKUP((A53),SONUC!$A$2:$L$10000,7,FALSE))</f>
        <v xml:space="preserve"> </v>
      </c>
      <c r="I53" s="4" t="str">
        <f>IF(ISBLANK(A53)," ",VLOOKUP((A53),SONUC!$A$2:$L$10000,8,FALSE))</f>
        <v xml:space="preserve"> </v>
      </c>
      <c r="J53" s="4" t="str">
        <f>IF(ISBLANK(A53)," ",VLOOKUP((A53),SONUC!$A$2:$L$10000,9,FALSE))</f>
        <v xml:space="preserve"> </v>
      </c>
      <c r="K53" s="4" t="str">
        <f>IF(ISBLANK(A53)," ",VLOOKUP((A53),SONUC!$A$2:$L$10000,10,FALSE))</f>
        <v xml:space="preserve"> </v>
      </c>
      <c r="L53" s="4" t="str">
        <f>IF(ISBLANK(A53)," ",VLOOKUP((A53),SONUC!$A$2:$L$10000,11,FALSE))</f>
        <v xml:space="preserve"> </v>
      </c>
      <c r="M53" s="4" t="str">
        <f>IF(ISBLANK(A53)," ",VLOOKUP((A53),SONUC!$A$2:$L$10000,12,FALSE))</f>
        <v xml:space="preserve"> </v>
      </c>
    </row>
    <row r="54" spans="1:13" x14ac:dyDescent="0.25">
      <c r="A54" s="8"/>
      <c r="B54" s="4">
        <v>53</v>
      </c>
      <c r="C54" s="4" t="str">
        <f>IF(ISBLANK(A54)," ",VLOOKUP((A54),SONUC!$A$2:$L$10000,2,FALSE))</f>
        <v xml:space="preserve"> </v>
      </c>
      <c r="D54" s="4" t="str">
        <f>IF(ISBLANK(A54)," ",VLOOKUP((A54),SONUC!$A$2:$L$10000,3,FALSE))</f>
        <v xml:space="preserve"> </v>
      </c>
      <c r="E54" s="4" t="str">
        <f>IF(ISBLANK(A54)," ",VLOOKUP((A54),SONUC!$A$2:$L$10000,4,FALSE))</f>
        <v xml:space="preserve"> </v>
      </c>
      <c r="F54" s="4" t="str">
        <f>IF(ISBLANK(A54)," ",VLOOKUP((A54),SONUC!$A$2:$L$10000,5,FALSE))</f>
        <v xml:space="preserve"> </v>
      </c>
      <c r="G54" s="4" t="str">
        <f>IF(ISBLANK(A54)," ",VLOOKUP((A54),SONUC!$A$2:$L$10000,6,FALSE))</f>
        <v xml:space="preserve"> </v>
      </c>
      <c r="H54" s="4" t="str">
        <f>IF(ISBLANK(A54)," ",VLOOKUP((A54),SONUC!$A$2:$L$10000,7,FALSE))</f>
        <v xml:space="preserve"> </v>
      </c>
      <c r="I54" s="4" t="str">
        <f>IF(ISBLANK(A54)," ",VLOOKUP((A54),SONUC!$A$2:$L$10000,8,FALSE))</f>
        <v xml:space="preserve"> </v>
      </c>
      <c r="J54" s="4" t="str">
        <f>IF(ISBLANK(A54)," ",VLOOKUP((A54),SONUC!$A$2:$L$10000,9,FALSE))</f>
        <v xml:space="preserve"> </v>
      </c>
      <c r="K54" s="4" t="str">
        <f>IF(ISBLANK(A54)," ",VLOOKUP((A54),SONUC!$A$2:$L$10000,10,FALSE))</f>
        <v xml:space="preserve"> </v>
      </c>
      <c r="L54" s="4" t="str">
        <f>IF(ISBLANK(A54)," ",VLOOKUP((A54),SONUC!$A$2:$L$10000,11,FALSE))</f>
        <v xml:space="preserve"> </v>
      </c>
      <c r="M54" s="4" t="str">
        <f>IF(ISBLANK(A54)," ",VLOOKUP((A54),SONUC!$A$2:$L$10000,12,FALSE))</f>
        <v xml:space="preserve"> </v>
      </c>
    </row>
    <row r="55" spans="1:13" x14ac:dyDescent="0.25">
      <c r="A55" s="8"/>
      <c r="B55" s="4">
        <v>54</v>
      </c>
      <c r="C55" s="4" t="str">
        <f>IF(ISBLANK(A55)," ",VLOOKUP((A55),SONUC!$A$2:$L$10000,2,FALSE))</f>
        <v xml:space="preserve"> </v>
      </c>
      <c r="D55" s="4" t="str">
        <f>IF(ISBLANK(A55)," ",VLOOKUP((A55),SONUC!$A$2:$L$10000,3,FALSE))</f>
        <v xml:space="preserve"> </v>
      </c>
      <c r="E55" s="4" t="str">
        <f>IF(ISBLANK(A55)," ",VLOOKUP((A55),SONUC!$A$2:$L$10000,4,FALSE))</f>
        <v xml:space="preserve"> </v>
      </c>
      <c r="F55" s="4" t="str">
        <f>IF(ISBLANK(A55)," ",VLOOKUP((A55),SONUC!$A$2:$L$10000,5,FALSE))</f>
        <v xml:space="preserve"> </v>
      </c>
      <c r="G55" s="4" t="str">
        <f>IF(ISBLANK(A55)," ",VLOOKUP((A55),SONUC!$A$2:$L$10000,6,FALSE))</f>
        <v xml:space="preserve"> </v>
      </c>
      <c r="H55" s="4" t="str">
        <f>IF(ISBLANK(A55)," ",VLOOKUP((A55),SONUC!$A$2:$L$10000,7,FALSE))</f>
        <v xml:space="preserve"> </v>
      </c>
      <c r="I55" s="4" t="str">
        <f>IF(ISBLANK(A55)," ",VLOOKUP((A55),SONUC!$A$2:$L$10000,8,FALSE))</f>
        <v xml:space="preserve"> </v>
      </c>
      <c r="J55" s="4" t="str">
        <f>IF(ISBLANK(A55)," ",VLOOKUP((A55),SONUC!$A$2:$L$10000,9,FALSE))</f>
        <v xml:space="preserve"> </v>
      </c>
      <c r="K55" s="4" t="str">
        <f>IF(ISBLANK(A55)," ",VLOOKUP((A55),SONUC!$A$2:$L$10000,10,FALSE))</f>
        <v xml:space="preserve"> </v>
      </c>
      <c r="L55" s="4" t="str">
        <f>IF(ISBLANK(A55)," ",VLOOKUP((A55),SONUC!$A$2:$L$10000,11,FALSE))</f>
        <v xml:space="preserve"> </v>
      </c>
      <c r="M55" s="4" t="str">
        <f>IF(ISBLANK(A55)," ",VLOOKUP((A55),SONUC!$A$2:$L$10000,12,FALSE))</f>
        <v xml:space="preserve"> </v>
      </c>
    </row>
    <row r="56" spans="1:13" x14ac:dyDescent="0.25">
      <c r="A56" s="8"/>
      <c r="B56" s="4">
        <v>55</v>
      </c>
      <c r="C56" s="4" t="str">
        <f>IF(ISBLANK(A56)," ",VLOOKUP((A56),SONUC!$A$2:$L$10000,2,FALSE))</f>
        <v xml:space="preserve"> </v>
      </c>
      <c r="D56" s="4" t="str">
        <f>IF(ISBLANK(A56)," ",VLOOKUP((A56),SONUC!$A$2:$L$10000,3,FALSE))</f>
        <v xml:space="preserve"> </v>
      </c>
      <c r="E56" s="4" t="str">
        <f>IF(ISBLANK(A56)," ",VLOOKUP((A56),SONUC!$A$2:$L$10000,4,FALSE))</f>
        <v xml:space="preserve"> </v>
      </c>
      <c r="F56" s="4" t="str">
        <f>IF(ISBLANK(A56)," ",VLOOKUP((A56),SONUC!$A$2:$L$10000,5,FALSE))</f>
        <v xml:space="preserve"> </v>
      </c>
      <c r="G56" s="4" t="str">
        <f>IF(ISBLANK(A56)," ",VLOOKUP((A56),SONUC!$A$2:$L$10000,6,FALSE))</f>
        <v xml:space="preserve"> </v>
      </c>
      <c r="H56" s="4" t="str">
        <f>IF(ISBLANK(A56)," ",VLOOKUP((A56),SONUC!$A$2:$L$10000,7,FALSE))</f>
        <v xml:space="preserve"> </v>
      </c>
      <c r="I56" s="4" t="str">
        <f>IF(ISBLANK(A56)," ",VLOOKUP((A56),SONUC!$A$2:$L$10000,8,FALSE))</f>
        <v xml:space="preserve"> </v>
      </c>
      <c r="J56" s="4" t="str">
        <f>IF(ISBLANK(A56)," ",VLOOKUP((A56),SONUC!$A$2:$L$10000,9,FALSE))</f>
        <v xml:space="preserve"> </v>
      </c>
      <c r="K56" s="4" t="str">
        <f>IF(ISBLANK(A56)," ",VLOOKUP((A56),SONUC!$A$2:$L$10000,10,FALSE))</f>
        <v xml:space="preserve"> </v>
      </c>
      <c r="L56" s="4" t="str">
        <f>IF(ISBLANK(A56)," ",VLOOKUP((A56),SONUC!$A$2:$L$10000,11,FALSE))</f>
        <v xml:space="preserve"> </v>
      </c>
      <c r="M56" s="4" t="str">
        <f>IF(ISBLANK(A56)," ",VLOOKUP((A56),SONUC!$A$2:$L$10000,12,FALSE))</f>
        <v xml:space="preserve"> </v>
      </c>
    </row>
    <row r="57" spans="1:13" x14ac:dyDescent="0.25">
      <c r="A57" s="8"/>
      <c r="B57" s="4">
        <v>56</v>
      </c>
      <c r="C57" s="4" t="str">
        <f>IF(ISBLANK(A57)," ",VLOOKUP((A57),SONUC!$A$2:$L$10000,2,FALSE))</f>
        <v xml:space="preserve"> </v>
      </c>
      <c r="D57" s="4" t="str">
        <f>IF(ISBLANK(A57)," ",VLOOKUP((A57),SONUC!$A$2:$L$10000,3,FALSE))</f>
        <v xml:space="preserve"> </v>
      </c>
      <c r="E57" s="4" t="str">
        <f>IF(ISBLANK(A57)," ",VLOOKUP((A57),SONUC!$A$2:$L$10000,4,FALSE))</f>
        <v xml:space="preserve"> </v>
      </c>
      <c r="F57" s="4" t="str">
        <f>IF(ISBLANK(A57)," ",VLOOKUP((A57),SONUC!$A$2:$L$10000,5,FALSE))</f>
        <v xml:space="preserve"> </v>
      </c>
      <c r="G57" s="4" t="str">
        <f>IF(ISBLANK(A57)," ",VLOOKUP((A57),SONUC!$A$2:$L$10000,6,FALSE))</f>
        <v xml:space="preserve"> </v>
      </c>
      <c r="H57" s="4" t="str">
        <f>IF(ISBLANK(A57)," ",VLOOKUP((A57),SONUC!$A$2:$L$10000,7,FALSE))</f>
        <v xml:space="preserve"> </v>
      </c>
      <c r="I57" s="4" t="str">
        <f>IF(ISBLANK(A57)," ",VLOOKUP((A57),SONUC!$A$2:$L$10000,8,FALSE))</f>
        <v xml:space="preserve"> </v>
      </c>
      <c r="J57" s="4" t="str">
        <f>IF(ISBLANK(A57)," ",VLOOKUP((A57),SONUC!$A$2:$L$10000,9,FALSE))</f>
        <v xml:space="preserve"> </v>
      </c>
      <c r="K57" s="4" t="str">
        <f>IF(ISBLANK(A57)," ",VLOOKUP((A57),SONUC!$A$2:$L$10000,10,FALSE))</f>
        <v xml:space="preserve"> </v>
      </c>
      <c r="L57" s="4" t="str">
        <f>IF(ISBLANK(A57)," ",VLOOKUP((A57),SONUC!$A$2:$L$10000,11,FALSE))</f>
        <v xml:space="preserve"> </v>
      </c>
      <c r="M57" s="4" t="str">
        <f>IF(ISBLANK(A57)," ",VLOOKUP((A57),SONUC!$A$2:$L$10000,12,FALSE))</f>
        <v xml:space="preserve"> </v>
      </c>
    </row>
    <row r="58" spans="1:13" x14ac:dyDescent="0.25">
      <c r="A58" s="8"/>
      <c r="B58" s="4">
        <v>57</v>
      </c>
      <c r="C58" s="4" t="str">
        <f>IF(ISBLANK(A58)," ",VLOOKUP((A58),SONUC!$A$2:$L$10000,2,FALSE))</f>
        <v xml:space="preserve"> </v>
      </c>
      <c r="D58" s="4" t="str">
        <f>IF(ISBLANK(A58)," ",VLOOKUP((A58),SONUC!$A$2:$L$10000,3,FALSE))</f>
        <v xml:space="preserve"> </v>
      </c>
      <c r="E58" s="4" t="str">
        <f>IF(ISBLANK(A58)," ",VLOOKUP((A58),SONUC!$A$2:$L$10000,4,FALSE))</f>
        <v xml:space="preserve"> </v>
      </c>
      <c r="F58" s="4" t="str">
        <f>IF(ISBLANK(A58)," ",VLOOKUP((A58),SONUC!$A$2:$L$10000,5,FALSE))</f>
        <v xml:space="preserve"> </v>
      </c>
      <c r="G58" s="4" t="str">
        <f>IF(ISBLANK(A58)," ",VLOOKUP((A58),SONUC!$A$2:$L$10000,6,FALSE))</f>
        <v xml:space="preserve"> </v>
      </c>
      <c r="H58" s="4" t="str">
        <f>IF(ISBLANK(A58)," ",VLOOKUP((A58),SONUC!$A$2:$L$10000,7,FALSE))</f>
        <v xml:space="preserve"> </v>
      </c>
      <c r="I58" s="4" t="str">
        <f>IF(ISBLANK(A58)," ",VLOOKUP((A58),SONUC!$A$2:$L$10000,8,FALSE))</f>
        <v xml:space="preserve"> </v>
      </c>
      <c r="J58" s="4" t="str">
        <f>IF(ISBLANK(A58)," ",VLOOKUP((A58),SONUC!$A$2:$L$10000,9,FALSE))</f>
        <v xml:space="preserve"> </v>
      </c>
      <c r="K58" s="4" t="str">
        <f>IF(ISBLANK(A58)," ",VLOOKUP((A58),SONUC!$A$2:$L$10000,10,FALSE))</f>
        <v xml:space="preserve"> </v>
      </c>
      <c r="L58" s="4" t="str">
        <f>IF(ISBLANK(A58)," ",VLOOKUP((A58),SONUC!$A$2:$L$10000,11,FALSE))</f>
        <v xml:space="preserve"> </v>
      </c>
      <c r="M58" s="4" t="str">
        <f>IF(ISBLANK(A58)," ",VLOOKUP((A58),SONUC!$A$2:$L$10000,12,FALSE))</f>
        <v xml:space="preserve"> </v>
      </c>
    </row>
    <row r="59" spans="1:13" x14ac:dyDescent="0.25">
      <c r="A59" s="8"/>
      <c r="B59" s="4">
        <v>58</v>
      </c>
      <c r="C59" s="4" t="str">
        <f>IF(ISBLANK(A59)," ",VLOOKUP((A59),SONUC!$A$2:$L$10000,2,FALSE))</f>
        <v xml:space="preserve"> </v>
      </c>
      <c r="D59" s="4" t="str">
        <f>IF(ISBLANK(A59)," ",VLOOKUP((A59),SONUC!$A$2:$L$10000,3,FALSE))</f>
        <v xml:space="preserve"> </v>
      </c>
      <c r="E59" s="4" t="str">
        <f>IF(ISBLANK(A59)," ",VLOOKUP((A59),SONUC!$A$2:$L$10000,4,FALSE))</f>
        <v xml:space="preserve"> </v>
      </c>
      <c r="F59" s="4" t="str">
        <f>IF(ISBLANK(A59)," ",VLOOKUP((A59),SONUC!$A$2:$L$10000,5,FALSE))</f>
        <v xml:space="preserve"> </v>
      </c>
      <c r="G59" s="4" t="str">
        <f>IF(ISBLANK(A59)," ",VLOOKUP((A59),SONUC!$A$2:$L$10000,6,FALSE))</f>
        <v xml:space="preserve"> </v>
      </c>
      <c r="H59" s="4" t="str">
        <f>IF(ISBLANK(A59)," ",VLOOKUP((A59),SONUC!$A$2:$L$10000,7,FALSE))</f>
        <v xml:space="preserve"> </v>
      </c>
      <c r="I59" s="4" t="str">
        <f>IF(ISBLANK(A59)," ",VLOOKUP((A59),SONUC!$A$2:$L$10000,8,FALSE))</f>
        <v xml:space="preserve"> </v>
      </c>
      <c r="J59" s="4" t="str">
        <f>IF(ISBLANK(A59)," ",VLOOKUP((A59),SONUC!$A$2:$L$10000,9,FALSE))</f>
        <v xml:space="preserve"> </v>
      </c>
      <c r="K59" s="4" t="str">
        <f>IF(ISBLANK(A59)," ",VLOOKUP((A59),SONUC!$A$2:$L$10000,10,FALSE))</f>
        <v xml:space="preserve"> </v>
      </c>
      <c r="L59" s="4" t="str">
        <f>IF(ISBLANK(A59)," ",VLOOKUP((A59),SONUC!$A$2:$L$10000,11,FALSE))</f>
        <v xml:space="preserve"> </v>
      </c>
      <c r="M59" s="4" t="str">
        <f>IF(ISBLANK(A59)," ",VLOOKUP((A59),SONUC!$A$2:$L$10000,12,FALSE))</f>
        <v xml:space="preserve"> </v>
      </c>
    </row>
    <row r="60" spans="1:13" x14ac:dyDescent="0.25">
      <c r="A60" s="8"/>
      <c r="B60" s="4">
        <v>59</v>
      </c>
      <c r="C60" s="4" t="str">
        <f>IF(ISBLANK(A60)," ",VLOOKUP((A60),SONUC!$A$2:$L$10000,2,FALSE))</f>
        <v xml:space="preserve"> </v>
      </c>
      <c r="D60" s="4" t="str">
        <f>IF(ISBLANK(A60)," ",VLOOKUP((A60),SONUC!$A$2:$L$10000,3,FALSE))</f>
        <v xml:space="preserve"> </v>
      </c>
      <c r="E60" s="4" t="str">
        <f>IF(ISBLANK(A60)," ",VLOOKUP((A60),SONUC!$A$2:$L$10000,4,FALSE))</f>
        <v xml:space="preserve"> </v>
      </c>
      <c r="F60" s="4" t="str">
        <f>IF(ISBLANK(A60)," ",VLOOKUP((A60),SONUC!$A$2:$L$10000,5,FALSE))</f>
        <v xml:space="preserve"> </v>
      </c>
      <c r="G60" s="4" t="str">
        <f>IF(ISBLANK(A60)," ",VLOOKUP((A60),SONUC!$A$2:$L$10000,6,FALSE))</f>
        <v xml:space="preserve"> </v>
      </c>
      <c r="H60" s="4" t="str">
        <f>IF(ISBLANK(A60)," ",VLOOKUP((A60),SONUC!$A$2:$L$10000,7,FALSE))</f>
        <v xml:space="preserve"> </v>
      </c>
      <c r="I60" s="4" t="str">
        <f>IF(ISBLANK(A60)," ",VLOOKUP((A60),SONUC!$A$2:$L$10000,8,FALSE))</f>
        <v xml:space="preserve"> </v>
      </c>
      <c r="J60" s="4" t="str">
        <f>IF(ISBLANK(A60)," ",VLOOKUP((A60),SONUC!$A$2:$L$10000,9,FALSE))</f>
        <v xml:space="preserve"> </v>
      </c>
      <c r="K60" s="4" t="str">
        <f>IF(ISBLANK(A60)," ",VLOOKUP((A60),SONUC!$A$2:$L$10000,10,FALSE))</f>
        <v xml:space="preserve"> </v>
      </c>
      <c r="L60" s="4" t="str">
        <f>IF(ISBLANK(A60)," ",VLOOKUP((A60),SONUC!$A$2:$L$10000,11,FALSE))</f>
        <v xml:space="preserve"> </v>
      </c>
      <c r="M60" s="4" t="str">
        <f>IF(ISBLANK(A60)," ",VLOOKUP((A60),SONUC!$A$2:$L$10000,12,FALSE))</f>
        <v xml:space="preserve"> </v>
      </c>
    </row>
    <row r="61" spans="1:13" x14ac:dyDescent="0.25">
      <c r="A61" s="8"/>
      <c r="B61" s="4">
        <v>60</v>
      </c>
      <c r="C61" s="4" t="str">
        <f>IF(ISBLANK(A61)," ",VLOOKUP((A61),SONUC!$A$2:$L$10000,2,FALSE))</f>
        <v xml:space="preserve"> </v>
      </c>
      <c r="D61" s="4" t="str">
        <f>IF(ISBLANK(A61)," ",VLOOKUP((A61),SONUC!$A$2:$L$10000,3,FALSE))</f>
        <v xml:space="preserve"> </v>
      </c>
      <c r="E61" s="4" t="str">
        <f>IF(ISBLANK(A61)," ",VLOOKUP((A61),SONUC!$A$2:$L$10000,4,FALSE))</f>
        <v xml:space="preserve"> </v>
      </c>
      <c r="F61" s="4" t="str">
        <f>IF(ISBLANK(A61)," ",VLOOKUP((A61),SONUC!$A$2:$L$10000,5,FALSE))</f>
        <v xml:space="preserve"> </v>
      </c>
      <c r="G61" s="4" t="str">
        <f>IF(ISBLANK(A61)," ",VLOOKUP((A61),SONUC!$A$2:$L$10000,6,FALSE))</f>
        <v xml:space="preserve"> </v>
      </c>
      <c r="H61" s="4" t="str">
        <f>IF(ISBLANK(A61)," ",VLOOKUP((A61),SONUC!$A$2:$L$10000,7,FALSE))</f>
        <v xml:space="preserve"> </v>
      </c>
      <c r="I61" s="4" t="str">
        <f>IF(ISBLANK(A61)," ",VLOOKUP((A61),SONUC!$A$2:$L$10000,8,FALSE))</f>
        <v xml:space="preserve"> </v>
      </c>
      <c r="J61" s="4" t="str">
        <f>IF(ISBLANK(A61)," ",VLOOKUP((A61),SONUC!$A$2:$L$10000,9,FALSE))</f>
        <v xml:space="preserve"> </v>
      </c>
      <c r="K61" s="4" t="str">
        <f>IF(ISBLANK(A61)," ",VLOOKUP((A61),SONUC!$A$2:$L$10000,10,FALSE))</f>
        <v xml:space="preserve"> </v>
      </c>
      <c r="L61" s="4" t="str">
        <f>IF(ISBLANK(A61)," ",VLOOKUP((A61),SONUC!$A$2:$L$10000,11,FALSE))</f>
        <v xml:space="preserve"> </v>
      </c>
      <c r="M61" s="4" t="str">
        <f>IF(ISBLANK(A61)," ",VLOOKUP((A61),SONUC!$A$2:$L$10000,12,FALSE))</f>
        <v xml:space="preserve"> </v>
      </c>
    </row>
    <row r="62" spans="1:13" x14ac:dyDescent="0.25">
      <c r="A62" s="8"/>
      <c r="B62" s="4">
        <v>61</v>
      </c>
      <c r="C62" s="4" t="str">
        <f>IF(ISBLANK(A62)," ",VLOOKUP((A62),SONUC!$A$2:$L$10000,2,FALSE))</f>
        <v xml:space="preserve"> </v>
      </c>
      <c r="D62" s="4" t="str">
        <f>IF(ISBLANK(A62)," ",VLOOKUP((A62),SONUC!$A$2:$L$10000,3,FALSE))</f>
        <v xml:space="preserve"> </v>
      </c>
      <c r="E62" s="4" t="str">
        <f>IF(ISBLANK(A62)," ",VLOOKUP((A62),SONUC!$A$2:$L$10000,4,FALSE))</f>
        <v xml:space="preserve"> </v>
      </c>
      <c r="F62" s="4" t="str">
        <f>IF(ISBLANK(A62)," ",VLOOKUP((A62),SONUC!$A$2:$L$10000,5,FALSE))</f>
        <v xml:space="preserve"> </v>
      </c>
      <c r="G62" s="4" t="str">
        <f>IF(ISBLANK(A62)," ",VLOOKUP((A62),SONUC!$A$2:$L$10000,6,FALSE))</f>
        <v xml:space="preserve"> </v>
      </c>
      <c r="H62" s="4" t="str">
        <f>IF(ISBLANK(A62)," ",VLOOKUP((A62),SONUC!$A$2:$L$10000,7,FALSE))</f>
        <v xml:space="preserve"> </v>
      </c>
      <c r="I62" s="4" t="str">
        <f>IF(ISBLANK(A62)," ",VLOOKUP((A62),SONUC!$A$2:$L$10000,8,FALSE))</f>
        <v xml:space="preserve"> </v>
      </c>
      <c r="J62" s="4" t="str">
        <f>IF(ISBLANK(A62)," ",VLOOKUP((A62),SONUC!$A$2:$L$10000,9,FALSE))</f>
        <v xml:space="preserve"> </v>
      </c>
      <c r="K62" s="4" t="str">
        <f>IF(ISBLANK(A62)," ",VLOOKUP((A62),SONUC!$A$2:$L$10000,10,FALSE))</f>
        <v xml:space="preserve"> </v>
      </c>
      <c r="L62" s="4" t="str">
        <f>IF(ISBLANK(A62)," ",VLOOKUP((A62),SONUC!$A$2:$L$10000,11,FALSE))</f>
        <v xml:space="preserve"> </v>
      </c>
      <c r="M62" s="4" t="str">
        <f>IF(ISBLANK(A62)," ",VLOOKUP((A62),SONUC!$A$2:$L$10000,12,FALSE))</f>
        <v xml:space="preserve"> </v>
      </c>
    </row>
    <row r="63" spans="1:13" x14ac:dyDescent="0.25">
      <c r="A63" s="8"/>
      <c r="B63" s="4">
        <v>62</v>
      </c>
      <c r="C63" s="4" t="str">
        <f>IF(ISBLANK(A63)," ",VLOOKUP((A63),SONUC!$A$2:$L$10000,2,FALSE))</f>
        <v xml:space="preserve"> </v>
      </c>
      <c r="D63" s="4" t="str">
        <f>IF(ISBLANK(A63)," ",VLOOKUP((A63),SONUC!$A$2:$L$10000,3,FALSE))</f>
        <v xml:space="preserve"> </v>
      </c>
      <c r="E63" s="4" t="str">
        <f>IF(ISBLANK(A63)," ",VLOOKUP((A63),SONUC!$A$2:$L$10000,4,FALSE))</f>
        <v xml:space="preserve"> </v>
      </c>
      <c r="F63" s="4" t="str">
        <f>IF(ISBLANK(A63)," ",VLOOKUP((A63),SONUC!$A$2:$L$10000,5,FALSE))</f>
        <v xml:space="preserve"> </v>
      </c>
      <c r="G63" s="4" t="str">
        <f>IF(ISBLANK(A63)," ",VLOOKUP((A63),SONUC!$A$2:$L$10000,6,FALSE))</f>
        <v xml:space="preserve"> </v>
      </c>
      <c r="H63" s="4" t="str">
        <f>IF(ISBLANK(A63)," ",VLOOKUP((A63),SONUC!$A$2:$L$10000,7,FALSE))</f>
        <v xml:space="preserve"> </v>
      </c>
      <c r="I63" s="4" t="str">
        <f>IF(ISBLANK(A63)," ",VLOOKUP((A63),SONUC!$A$2:$L$10000,8,FALSE))</f>
        <v xml:space="preserve"> </v>
      </c>
      <c r="J63" s="4" t="str">
        <f>IF(ISBLANK(A63)," ",VLOOKUP((A63),SONUC!$A$2:$L$10000,9,FALSE))</f>
        <v xml:space="preserve"> </v>
      </c>
      <c r="K63" s="4" t="str">
        <f>IF(ISBLANK(A63)," ",VLOOKUP((A63),SONUC!$A$2:$L$10000,10,FALSE))</f>
        <v xml:space="preserve"> </v>
      </c>
      <c r="L63" s="4" t="str">
        <f>IF(ISBLANK(A63)," ",VLOOKUP((A63),SONUC!$A$2:$L$10000,11,FALSE))</f>
        <v xml:space="preserve"> </v>
      </c>
      <c r="M63" s="4" t="str">
        <f>IF(ISBLANK(A63)," ",VLOOKUP((A63),SONUC!$A$2:$L$10000,12,FALSE))</f>
        <v xml:space="preserve"> </v>
      </c>
    </row>
    <row r="64" spans="1:13" x14ac:dyDescent="0.25">
      <c r="A64" s="8"/>
      <c r="B64" s="4">
        <v>63</v>
      </c>
      <c r="C64" s="4" t="str">
        <f>IF(ISBLANK(A64)," ",VLOOKUP((A64),SONUC!$A$2:$L$10000,2,FALSE))</f>
        <v xml:space="preserve"> </v>
      </c>
      <c r="D64" s="4" t="str">
        <f>IF(ISBLANK(A64)," ",VLOOKUP((A64),SONUC!$A$2:$L$10000,3,FALSE))</f>
        <v xml:space="preserve"> </v>
      </c>
      <c r="E64" s="4" t="str">
        <f>IF(ISBLANK(A64)," ",VLOOKUP((A64),SONUC!$A$2:$L$10000,4,FALSE))</f>
        <v xml:space="preserve"> </v>
      </c>
      <c r="F64" s="4" t="str">
        <f>IF(ISBLANK(A64)," ",VLOOKUP((A64),SONUC!$A$2:$L$10000,5,FALSE))</f>
        <v xml:space="preserve"> </v>
      </c>
      <c r="G64" s="4" t="str">
        <f>IF(ISBLANK(A64)," ",VLOOKUP((A64),SONUC!$A$2:$L$10000,6,FALSE))</f>
        <v xml:space="preserve"> </v>
      </c>
      <c r="H64" s="4" t="str">
        <f>IF(ISBLANK(A64)," ",VLOOKUP((A64),SONUC!$A$2:$L$10000,7,FALSE))</f>
        <v xml:space="preserve"> </v>
      </c>
      <c r="I64" s="4" t="str">
        <f>IF(ISBLANK(A64)," ",VLOOKUP((A64),SONUC!$A$2:$L$10000,8,FALSE))</f>
        <v xml:space="preserve"> </v>
      </c>
      <c r="J64" s="4" t="str">
        <f>IF(ISBLANK(A64)," ",VLOOKUP((A64),SONUC!$A$2:$L$10000,9,FALSE))</f>
        <v xml:space="preserve"> </v>
      </c>
      <c r="K64" s="4" t="str">
        <f>IF(ISBLANK(A64)," ",VLOOKUP((A64),SONUC!$A$2:$L$10000,10,FALSE))</f>
        <v xml:space="preserve"> </v>
      </c>
      <c r="L64" s="4" t="str">
        <f>IF(ISBLANK(A64)," ",VLOOKUP((A64),SONUC!$A$2:$L$10000,11,FALSE))</f>
        <v xml:space="preserve"> </v>
      </c>
      <c r="M64" s="4" t="str">
        <f>IF(ISBLANK(A64)," ",VLOOKUP((A64),SONUC!$A$2:$L$10000,12,FALSE))</f>
        <v xml:space="preserve"> </v>
      </c>
    </row>
    <row r="65" spans="1:13" x14ac:dyDescent="0.25">
      <c r="A65" s="8"/>
      <c r="B65" s="4">
        <v>64</v>
      </c>
      <c r="C65" s="4" t="str">
        <f>IF(ISBLANK(A65)," ",VLOOKUP((A65),SONUC!$A$2:$L$10000,2,FALSE))</f>
        <v xml:space="preserve"> </v>
      </c>
      <c r="D65" s="4" t="str">
        <f>IF(ISBLANK(A65)," ",VLOOKUP((A65),SONUC!$A$2:$L$10000,3,FALSE))</f>
        <v xml:space="preserve"> </v>
      </c>
      <c r="E65" s="4" t="str">
        <f>IF(ISBLANK(A65)," ",VLOOKUP((A65),SONUC!$A$2:$L$10000,4,FALSE))</f>
        <v xml:space="preserve"> </v>
      </c>
      <c r="F65" s="4" t="str">
        <f>IF(ISBLANK(A65)," ",VLOOKUP((A65),SONUC!$A$2:$L$10000,5,FALSE))</f>
        <v xml:space="preserve"> </v>
      </c>
      <c r="G65" s="4" t="str">
        <f>IF(ISBLANK(A65)," ",VLOOKUP((A65),SONUC!$A$2:$L$10000,6,FALSE))</f>
        <v xml:space="preserve"> </v>
      </c>
      <c r="H65" s="4" t="str">
        <f>IF(ISBLANK(A65)," ",VLOOKUP((A65),SONUC!$A$2:$L$10000,7,FALSE))</f>
        <v xml:space="preserve"> </v>
      </c>
      <c r="I65" s="4" t="str">
        <f>IF(ISBLANK(A65)," ",VLOOKUP((A65),SONUC!$A$2:$L$10000,8,FALSE))</f>
        <v xml:space="preserve"> </v>
      </c>
      <c r="J65" s="4" t="str">
        <f>IF(ISBLANK(A65)," ",VLOOKUP((A65),SONUC!$A$2:$L$10000,9,FALSE))</f>
        <v xml:space="preserve"> </v>
      </c>
      <c r="K65" s="4" t="str">
        <f>IF(ISBLANK(A65)," ",VLOOKUP((A65),SONUC!$A$2:$L$10000,10,FALSE))</f>
        <v xml:space="preserve"> </v>
      </c>
      <c r="L65" s="4" t="str">
        <f>IF(ISBLANK(A65)," ",VLOOKUP((A65),SONUC!$A$2:$L$10000,11,FALSE))</f>
        <v xml:space="preserve"> </v>
      </c>
      <c r="M65" s="4" t="str">
        <f>IF(ISBLANK(A65)," ",VLOOKUP((A65),SONUC!$A$2:$L$10000,12,FALSE))</f>
        <v xml:space="preserve"> </v>
      </c>
    </row>
    <row r="66" spans="1:13" x14ac:dyDescent="0.25">
      <c r="A66" s="8"/>
      <c r="B66" s="4">
        <v>65</v>
      </c>
      <c r="C66" s="4" t="str">
        <f>IF(ISBLANK(A66)," ",VLOOKUP((A66),SONUC!$A$2:$L$10000,2,FALSE))</f>
        <v xml:space="preserve"> </v>
      </c>
      <c r="D66" s="4" t="str">
        <f>IF(ISBLANK(A66)," ",VLOOKUP((A66),SONUC!$A$2:$L$10000,3,FALSE))</f>
        <v xml:space="preserve"> </v>
      </c>
      <c r="E66" s="4" t="str">
        <f>IF(ISBLANK(A66)," ",VLOOKUP((A66),SONUC!$A$2:$L$10000,4,FALSE))</f>
        <v xml:space="preserve"> </v>
      </c>
      <c r="F66" s="4" t="str">
        <f>IF(ISBLANK(A66)," ",VLOOKUP((A66),SONUC!$A$2:$L$10000,5,FALSE))</f>
        <v xml:space="preserve"> </v>
      </c>
      <c r="G66" s="4" t="str">
        <f>IF(ISBLANK(A66)," ",VLOOKUP((A66),SONUC!$A$2:$L$10000,6,FALSE))</f>
        <v xml:space="preserve"> </v>
      </c>
      <c r="H66" s="4" t="str">
        <f>IF(ISBLANK(A66)," ",VLOOKUP((A66),SONUC!$A$2:$L$10000,7,FALSE))</f>
        <v xml:space="preserve"> </v>
      </c>
      <c r="I66" s="4" t="str">
        <f>IF(ISBLANK(A66)," ",VLOOKUP((A66),SONUC!$A$2:$L$10000,8,FALSE))</f>
        <v xml:space="preserve"> </v>
      </c>
      <c r="J66" s="4" t="str">
        <f>IF(ISBLANK(A66)," ",VLOOKUP((A66),SONUC!$A$2:$L$10000,9,FALSE))</f>
        <v xml:space="preserve"> </v>
      </c>
      <c r="K66" s="4" t="str">
        <f>IF(ISBLANK(A66)," ",VLOOKUP((A66),SONUC!$A$2:$L$10000,10,FALSE))</f>
        <v xml:space="preserve"> </v>
      </c>
      <c r="L66" s="4" t="str">
        <f>IF(ISBLANK(A66)," ",VLOOKUP((A66),SONUC!$A$2:$L$10000,11,FALSE))</f>
        <v xml:space="preserve"> </v>
      </c>
      <c r="M66" s="4" t="str">
        <f>IF(ISBLANK(A66)," ",VLOOKUP((A66),SONUC!$A$2:$L$10000,12,FALSE))</f>
        <v xml:space="preserve"> </v>
      </c>
    </row>
    <row r="67" spans="1:13" x14ac:dyDescent="0.25">
      <c r="A67" s="8"/>
      <c r="B67" s="4">
        <v>66</v>
      </c>
      <c r="C67" s="4" t="str">
        <f>IF(ISBLANK(A67)," ",VLOOKUP((A67),SONUC!$A$2:$L$10000,2,FALSE))</f>
        <v xml:space="preserve"> </v>
      </c>
      <c r="D67" s="4" t="str">
        <f>IF(ISBLANK(A67)," ",VLOOKUP((A67),SONUC!$A$2:$L$10000,3,FALSE))</f>
        <v xml:space="preserve"> </v>
      </c>
      <c r="E67" s="4" t="str">
        <f>IF(ISBLANK(A67)," ",VLOOKUP((A67),SONUC!$A$2:$L$10000,4,FALSE))</f>
        <v xml:space="preserve"> </v>
      </c>
      <c r="F67" s="4" t="str">
        <f>IF(ISBLANK(A67)," ",VLOOKUP((A67),SONUC!$A$2:$L$10000,5,FALSE))</f>
        <v xml:space="preserve"> </v>
      </c>
      <c r="G67" s="4" t="str">
        <f>IF(ISBLANK(A67)," ",VLOOKUP((A67),SONUC!$A$2:$L$10000,6,FALSE))</f>
        <v xml:space="preserve"> </v>
      </c>
      <c r="H67" s="4" t="str">
        <f>IF(ISBLANK(A67)," ",VLOOKUP((A67),SONUC!$A$2:$L$10000,7,FALSE))</f>
        <v xml:space="preserve"> </v>
      </c>
      <c r="I67" s="4" t="str">
        <f>IF(ISBLANK(A67)," ",VLOOKUP((A67),SONUC!$A$2:$L$10000,8,FALSE))</f>
        <v xml:space="preserve"> </v>
      </c>
      <c r="J67" s="4" t="str">
        <f>IF(ISBLANK(A67)," ",VLOOKUP((A67),SONUC!$A$2:$L$10000,9,FALSE))</f>
        <v xml:space="preserve"> </v>
      </c>
      <c r="K67" s="4" t="str">
        <f>IF(ISBLANK(A67)," ",VLOOKUP((A67),SONUC!$A$2:$L$10000,10,FALSE))</f>
        <v xml:space="preserve"> </v>
      </c>
      <c r="L67" s="4" t="str">
        <f>IF(ISBLANK(A67)," ",VLOOKUP((A67),SONUC!$A$2:$L$10000,11,FALSE))</f>
        <v xml:space="preserve"> </v>
      </c>
      <c r="M67" s="4" t="str">
        <f>IF(ISBLANK(A67)," ",VLOOKUP((A67),SONUC!$A$2:$L$10000,12,FALSE))</f>
        <v xml:space="preserve"> </v>
      </c>
    </row>
    <row r="68" spans="1:13" x14ac:dyDescent="0.25">
      <c r="A68" s="8"/>
      <c r="B68" s="4">
        <v>67</v>
      </c>
      <c r="C68" s="4" t="str">
        <f>IF(ISBLANK(A68)," ",VLOOKUP((A68),SONUC!$A$2:$L$10000,2,FALSE))</f>
        <v xml:space="preserve"> </v>
      </c>
      <c r="D68" s="4" t="str">
        <f>IF(ISBLANK(A68)," ",VLOOKUP((A68),SONUC!$A$2:$L$10000,3,FALSE))</f>
        <v xml:space="preserve"> </v>
      </c>
      <c r="E68" s="4" t="str">
        <f>IF(ISBLANK(A68)," ",VLOOKUP((A68),SONUC!$A$2:$L$10000,4,FALSE))</f>
        <v xml:space="preserve"> </v>
      </c>
      <c r="F68" s="4" t="str">
        <f>IF(ISBLANK(A68)," ",VLOOKUP((A68),SONUC!$A$2:$L$10000,5,FALSE))</f>
        <v xml:space="preserve"> </v>
      </c>
      <c r="G68" s="4" t="str">
        <f>IF(ISBLANK(A68)," ",VLOOKUP((A68),SONUC!$A$2:$L$10000,6,FALSE))</f>
        <v xml:space="preserve"> </v>
      </c>
      <c r="H68" s="4" t="str">
        <f>IF(ISBLANK(A68)," ",VLOOKUP((A68),SONUC!$A$2:$L$10000,7,FALSE))</f>
        <v xml:space="preserve"> </v>
      </c>
      <c r="I68" s="4" t="str">
        <f>IF(ISBLANK(A68)," ",VLOOKUP((A68),SONUC!$A$2:$L$10000,8,FALSE))</f>
        <v xml:space="preserve"> </v>
      </c>
      <c r="J68" s="4" t="str">
        <f>IF(ISBLANK(A68)," ",VLOOKUP((A68),SONUC!$A$2:$L$10000,9,FALSE))</f>
        <v xml:space="preserve"> </v>
      </c>
      <c r="K68" s="4" t="str">
        <f>IF(ISBLANK(A68)," ",VLOOKUP((A68),SONUC!$A$2:$L$10000,10,FALSE))</f>
        <v xml:space="preserve"> </v>
      </c>
      <c r="L68" s="4" t="str">
        <f>IF(ISBLANK(A68)," ",VLOOKUP((A68),SONUC!$A$2:$L$10000,11,FALSE))</f>
        <v xml:space="preserve"> </v>
      </c>
      <c r="M68" s="4" t="str">
        <f>IF(ISBLANK(A68)," ",VLOOKUP((A68),SONUC!$A$2:$L$10000,12,FALSE))</f>
        <v xml:space="preserve"> </v>
      </c>
    </row>
    <row r="69" spans="1:13" x14ac:dyDescent="0.25">
      <c r="A69" s="8"/>
      <c r="B69" s="4">
        <v>68</v>
      </c>
      <c r="C69" s="4" t="str">
        <f>IF(ISBLANK(A69)," ",VLOOKUP((A69),SONUC!$A$2:$L$10000,2,FALSE))</f>
        <v xml:space="preserve"> </v>
      </c>
      <c r="D69" s="4" t="str">
        <f>IF(ISBLANK(A69)," ",VLOOKUP((A69),SONUC!$A$2:$L$10000,3,FALSE))</f>
        <v xml:space="preserve"> </v>
      </c>
      <c r="E69" s="4" t="str">
        <f>IF(ISBLANK(A69)," ",VLOOKUP((A69),SONUC!$A$2:$L$10000,4,FALSE))</f>
        <v xml:space="preserve"> </v>
      </c>
      <c r="F69" s="4" t="str">
        <f>IF(ISBLANK(A69)," ",VLOOKUP((A69),SONUC!$A$2:$L$10000,5,FALSE))</f>
        <v xml:space="preserve"> </v>
      </c>
      <c r="G69" s="4" t="str">
        <f>IF(ISBLANK(A69)," ",VLOOKUP((A69),SONUC!$A$2:$L$10000,6,FALSE))</f>
        <v xml:space="preserve"> </v>
      </c>
      <c r="H69" s="4" t="str">
        <f>IF(ISBLANK(A69)," ",VLOOKUP((A69),SONUC!$A$2:$L$10000,7,FALSE))</f>
        <v xml:space="preserve"> </v>
      </c>
      <c r="I69" s="4" t="str">
        <f>IF(ISBLANK(A69)," ",VLOOKUP((A69),SONUC!$A$2:$L$10000,8,FALSE))</f>
        <v xml:space="preserve"> </v>
      </c>
      <c r="J69" s="4" t="str">
        <f>IF(ISBLANK(A69)," ",VLOOKUP((A69),SONUC!$A$2:$L$10000,9,FALSE))</f>
        <v xml:space="preserve"> </v>
      </c>
      <c r="K69" s="4" t="str">
        <f>IF(ISBLANK(A69)," ",VLOOKUP((A69),SONUC!$A$2:$L$10000,10,FALSE))</f>
        <v xml:space="preserve"> </v>
      </c>
      <c r="L69" s="4" t="str">
        <f>IF(ISBLANK(A69)," ",VLOOKUP((A69),SONUC!$A$2:$L$10000,11,FALSE))</f>
        <v xml:space="preserve"> </v>
      </c>
      <c r="M69" s="4" t="str">
        <f>IF(ISBLANK(A69)," ",VLOOKUP((A69),SONUC!$A$2:$L$10000,12,FALSE))</f>
        <v xml:space="preserve"> </v>
      </c>
    </row>
    <row r="70" spans="1:13" x14ac:dyDescent="0.25">
      <c r="A70" s="8"/>
      <c r="B70" s="4">
        <v>69</v>
      </c>
      <c r="C70" s="4" t="str">
        <f>IF(ISBLANK(A70)," ",VLOOKUP((A70),SONUC!$A$2:$L$10000,2,FALSE))</f>
        <v xml:space="preserve"> </v>
      </c>
      <c r="D70" s="4" t="str">
        <f>IF(ISBLANK(A70)," ",VLOOKUP((A70),SONUC!$A$2:$L$10000,3,FALSE))</f>
        <v xml:space="preserve"> </v>
      </c>
      <c r="E70" s="4" t="str">
        <f>IF(ISBLANK(A70)," ",VLOOKUP((A70),SONUC!$A$2:$L$10000,4,FALSE))</f>
        <v xml:space="preserve"> </v>
      </c>
      <c r="F70" s="4" t="str">
        <f>IF(ISBLANK(A70)," ",VLOOKUP((A70),SONUC!$A$2:$L$10000,5,FALSE))</f>
        <v xml:space="preserve"> </v>
      </c>
      <c r="G70" s="4" t="str">
        <f>IF(ISBLANK(A70)," ",VLOOKUP((A70),SONUC!$A$2:$L$10000,6,FALSE))</f>
        <v xml:space="preserve"> </v>
      </c>
      <c r="H70" s="4" t="str">
        <f>IF(ISBLANK(A70)," ",VLOOKUP((A70),SONUC!$A$2:$L$10000,7,FALSE))</f>
        <v xml:space="preserve"> </v>
      </c>
      <c r="I70" s="4" t="str">
        <f>IF(ISBLANK(A70)," ",VLOOKUP((A70),SONUC!$A$2:$L$10000,8,FALSE))</f>
        <v xml:space="preserve"> </v>
      </c>
      <c r="J70" s="4" t="str">
        <f>IF(ISBLANK(A70)," ",VLOOKUP((A70),SONUC!$A$2:$L$10000,9,FALSE))</f>
        <v xml:space="preserve"> </v>
      </c>
      <c r="K70" s="4" t="str">
        <f>IF(ISBLANK(A70)," ",VLOOKUP((A70),SONUC!$A$2:$L$10000,10,FALSE))</f>
        <v xml:space="preserve"> </v>
      </c>
      <c r="L70" s="4" t="str">
        <f>IF(ISBLANK(A70)," ",VLOOKUP((A70),SONUC!$A$2:$L$10000,11,FALSE))</f>
        <v xml:space="preserve"> </v>
      </c>
      <c r="M70" s="4" t="str">
        <f>IF(ISBLANK(A70)," ",VLOOKUP((A70),SONUC!$A$2:$L$10000,12,FALSE))</f>
        <v xml:space="preserve"> </v>
      </c>
    </row>
    <row r="71" spans="1:13" x14ac:dyDescent="0.25">
      <c r="A71" s="8"/>
      <c r="B71" s="4">
        <v>70</v>
      </c>
      <c r="C71" s="4" t="str">
        <f>IF(ISBLANK(A71)," ",VLOOKUP((A71),SONUC!$A$2:$L$10000,2,FALSE))</f>
        <v xml:space="preserve"> </v>
      </c>
      <c r="D71" s="4" t="str">
        <f>IF(ISBLANK(A71)," ",VLOOKUP((A71),SONUC!$A$2:$L$10000,3,FALSE))</f>
        <v xml:space="preserve"> </v>
      </c>
      <c r="E71" s="4" t="str">
        <f>IF(ISBLANK(A71)," ",VLOOKUP((A71),SONUC!$A$2:$L$10000,4,FALSE))</f>
        <v xml:space="preserve"> </v>
      </c>
      <c r="F71" s="4" t="str">
        <f>IF(ISBLANK(A71)," ",VLOOKUP((A71),SONUC!$A$2:$L$10000,5,FALSE))</f>
        <v xml:space="preserve"> </v>
      </c>
      <c r="G71" s="4" t="str">
        <f>IF(ISBLANK(A71)," ",VLOOKUP((A71),SONUC!$A$2:$L$10000,6,FALSE))</f>
        <v xml:space="preserve"> </v>
      </c>
      <c r="H71" s="4" t="str">
        <f>IF(ISBLANK(A71)," ",VLOOKUP((A71),SONUC!$A$2:$L$10000,7,FALSE))</f>
        <v xml:space="preserve"> </v>
      </c>
      <c r="I71" s="4" t="str">
        <f>IF(ISBLANK(A71)," ",VLOOKUP((A71),SONUC!$A$2:$L$10000,8,FALSE))</f>
        <v xml:space="preserve"> </v>
      </c>
      <c r="J71" s="4" t="str">
        <f>IF(ISBLANK(A71)," ",VLOOKUP((A71),SONUC!$A$2:$L$10000,9,FALSE))</f>
        <v xml:space="preserve"> </v>
      </c>
      <c r="K71" s="4" t="str">
        <f>IF(ISBLANK(A71)," ",VLOOKUP((A71),SONUC!$A$2:$L$10000,10,FALSE))</f>
        <v xml:space="preserve"> </v>
      </c>
      <c r="L71" s="4" t="str">
        <f>IF(ISBLANK(A71)," ",VLOOKUP((A71),SONUC!$A$2:$L$10000,11,FALSE))</f>
        <v xml:space="preserve"> </v>
      </c>
      <c r="M71" s="4" t="str">
        <f>IF(ISBLANK(A71)," ",VLOOKUP((A71),SONUC!$A$2:$L$10000,12,FALSE))</f>
        <v xml:space="preserve"> </v>
      </c>
    </row>
    <row r="72" spans="1:13" x14ac:dyDescent="0.25">
      <c r="A72" s="8"/>
      <c r="B72" s="4">
        <v>71</v>
      </c>
      <c r="C72" s="4" t="str">
        <f>IF(ISBLANK(A72)," ",VLOOKUP((A72),SONUC!$A$2:$L$10000,2,FALSE))</f>
        <v xml:space="preserve"> </v>
      </c>
      <c r="D72" s="4" t="str">
        <f>IF(ISBLANK(A72)," ",VLOOKUP((A72),SONUC!$A$2:$L$10000,3,FALSE))</f>
        <v xml:space="preserve"> </v>
      </c>
      <c r="E72" s="4" t="str">
        <f>IF(ISBLANK(A72)," ",VLOOKUP((A72),SONUC!$A$2:$L$10000,4,FALSE))</f>
        <v xml:space="preserve"> </v>
      </c>
      <c r="F72" s="4" t="str">
        <f>IF(ISBLANK(A72)," ",VLOOKUP((A72),SONUC!$A$2:$L$10000,5,FALSE))</f>
        <v xml:space="preserve"> </v>
      </c>
      <c r="G72" s="4" t="str">
        <f>IF(ISBLANK(A72)," ",VLOOKUP((A72),SONUC!$A$2:$L$10000,6,FALSE))</f>
        <v xml:space="preserve"> </v>
      </c>
      <c r="H72" s="4" t="str">
        <f>IF(ISBLANK(A72)," ",VLOOKUP((A72),SONUC!$A$2:$L$10000,7,FALSE))</f>
        <v xml:space="preserve"> </v>
      </c>
      <c r="I72" s="4" t="str">
        <f>IF(ISBLANK(A72)," ",VLOOKUP((A72),SONUC!$A$2:$L$10000,8,FALSE))</f>
        <v xml:space="preserve"> </v>
      </c>
      <c r="J72" s="4" t="str">
        <f>IF(ISBLANK(A72)," ",VLOOKUP((A72),SONUC!$A$2:$L$10000,9,FALSE))</f>
        <v xml:space="preserve"> </v>
      </c>
      <c r="K72" s="4" t="str">
        <f>IF(ISBLANK(A72)," ",VLOOKUP((A72),SONUC!$A$2:$L$10000,10,FALSE))</f>
        <v xml:space="preserve"> </v>
      </c>
      <c r="L72" s="4" t="str">
        <f>IF(ISBLANK(A72)," ",VLOOKUP((A72),SONUC!$A$2:$L$10000,11,FALSE))</f>
        <v xml:space="preserve"> </v>
      </c>
      <c r="M72" s="4" t="str">
        <f>IF(ISBLANK(A72)," ",VLOOKUP((A72),SONUC!$A$2:$L$10000,12,FALSE))</f>
        <v xml:space="preserve"> </v>
      </c>
    </row>
    <row r="73" spans="1:13" x14ac:dyDescent="0.25">
      <c r="A73" s="8"/>
      <c r="B73" s="4">
        <v>72</v>
      </c>
      <c r="C73" s="4" t="str">
        <f>IF(ISBLANK(A73)," ",VLOOKUP((A73),SONUC!$A$2:$L$10000,2,FALSE))</f>
        <v xml:space="preserve"> </v>
      </c>
      <c r="D73" s="4" t="str">
        <f>IF(ISBLANK(A73)," ",VLOOKUP((A73),SONUC!$A$2:$L$10000,3,FALSE))</f>
        <v xml:space="preserve"> </v>
      </c>
      <c r="E73" s="4" t="str">
        <f>IF(ISBLANK(A73)," ",VLOOKUP((A73),SONUC!$A$2:$L$10000,4,FALSE))</f>
        <v xml:space="preserve"> </v>
      </c>
      <c r="F73" s="4" t="str">
        <f>IF(ISBLANK(A73)," ",VLOOKUP((A73),SONUC!$A$2:$L$10000,5,FALSE))</f>
        <v xml:space="preserve"> </v>
      </c>
      <c r="G73" s="4" t="str">
        <f>IF(ISBLANK(A73)," ",VLOOKUP((A73),SONUC!$A$2:$L$10000,6,FALSE))</f>
        <v xml:space="preserve"> </v>
      </c>
      <c r="H73" s="4" t="str">
        <f>IF(ISBLANK(A73)," ",VLOOKUP((A73),SONUC!$A$2:$L$10000,7,FALSE))</f>
        <v xml:space="preserve"> </v>
      </c>
      <c r="I73" s="4" t="str">
        <f>IF(ISBLANK(A73)," ",VLOOKUP((A73),SONUC!$A$2:$L$10000,8,FALSE))</f>
        <v xml:space="preserve"> </v>
      </c>
      <c r="J73" s="4" t="str">
        <f>IF(ISBLANK(A73)," ",VLOOKUP((A73),SONUC!$A$2:$L$10000,9,FALSE))</f>
        <v xml:space="preserve"> </v>
      </c>
      <c r="K73" s="4" t="str">
        <f>IF(ISBLANK(A73)," ",VLOOKUP((A73),SONUC!$A$2:$L$10000,10,FALSE))</f>
        <v xml:space="preserve"> </v>
      </c>
      <c r="L73" s="4" t="str">
        <f>IF(ISBLANK(A73)," ",VLOOKUP((A73),SONUC!$A$2:$L$10000,11,FALSE))</f>
        <v xml:space="preserve"> </v>
      </c>
      <c r="M73" s="4" t="str">
        <f>IF(ISBLANK(A73)," ",VLOOKUP((A73),SONUC!$A$2:$L$10000,12,FALSE))</f>
        <v xml:space="preserve"> </v>
      </c>
    </row>
    <row r="74" spans="1:13" x14ac:dyDescent="0.25">
      <c r="A74" s="8"/>
      <c r="B74" s="4">
        <v>73</v>
      </c>
      <c r="C74" s="4" t="str">
        <f>IF(ISBLANK(A74)," ",VLOOKUP((A74),SONUC!$A$2:$L$10000,2,FALSE))</f>
        <v xml:space="preserve"> </v>
      </c>
      <c r="D74" s="4" t="str">
        <f>IF(ISBLANK(A74)," ",VLOOKUP((A74),SONUC!$A$2:$L$10000,3,FALSE))</f>
        <v xml:space="preserve"> </v>
      </c>
      <c r="E74" s="4" t="str">
        <f>IF(ISBLANK(A74)," ",VLOOKUP((A74),SONUC!$A$2:$L$10000,4,FALSE))</f>
        <v xml:space="preserve"> </v>
      </c>
      <c r="F74" s="4" t="str">
        <f>IF(ISBLANK(A74)," ",VLOOKUP((A74),SONUC!$A$2:$L$10000,5,FALSE))</f>
        <v xml:space="preserve"> </v>
      </c>
      <c r="G74" s="4" t="str">
        <f>IF(ISBLANK(A74)," ",VLOOKUP((A74),SONUC!$A$2:$L$10000,6,FALSE))</f>
        <v xml:space="preserve"> </v>
      </c>
      <c r="H74" s="4" t="str">
        <f>IF(ISBLANK(A74)," ",VLOOKUP((A74),SONUC!$A$2:$L$10000,7,FALSE))</f>
        <v xml:space="preserve"> </v>
      </c>
      <c r="I74" s="4" t="str">
        <f>IF(ISBLANK(A74)," ",VLOOKUP((A74),SONUC!$A$2:$L$10000,8,FALSE))</f>
        <v xml:space="preserve"> </v>
      </c>
      <c r="J74" s="4" t="str">
        <f>IF(ISBLANK(A74)," ",VLOOKUP((A74),SONUC!$A$2:$L$10000,9,FALSE))</f>
        <v xml:space="preserve"> </v>
      </c>
      <c r="K74" s="4" t="str">
        <f>IF(ISBLANK(A74)," ",VLOOKUP((A74),SONUC!$A$2:$L$10000,10,FALSE))</f>
        <v xml:space="preserve"> </v>
      </c>
      <c r="L74" s="4" t="str">
        <f>IF(ISBLANK(A74)," ",VLOOKUP((A74),SONUC!$A$2:$L$10000,11,FALSE))</f>
        <v xml:space="preserve"> </v>
      </c>
      <c r="M74" s="4" t="str">
        <f>IF(ISBLANK(A74)," ",VLOOKUP((A74),SONUC!$A$2:$L$10000,12,FALSE))</f>
        <v xml:space="preserve"> </v>
      </c>
    </row>
    <row r="75" spans="1:13" x14ac:dyDescent="0.25">
      <c r="A75" s="8"/>
      <c r="B75" s="4">
        <v>74</v>
      </c>
      <c r="C75" s="4" t="str">
        <f>IF(ISBLANK(A75)," ",VLOOKUP((A75),SONUC!$A$2:$L$10000,2,FALSE))</f>
        <v xml:space="preserve"> </v>
      </c>
      <c r="D75" s="4" t="str">
        <f>IF(ISBLANK(A75)," ",VLOOKUP((A75),SONUC!$A$2:$L$10000,3,FALSE))</f>
        <v xml:space="preserve"> </v>
      </c>
      <c r="E75" s="4" t="str">
        <f>IF(ISBLANK(A75)," ",VLOOKUP((A75),SONUC!$A$2:$L$10000,4,FALSE))</f>
        <v xml:space="preserve"> </v>
      </c>
      <c r="F75" s="4" t="str">
        <f>IF(ISBLANK(A75)," ",VLOOKUP((A75),SONUC!$A$2:$L$10000,5,FALSE))</f>
        <v xml:space="preserve"> </v>
      </c>
      <c r="G75" s="4" t="str">
        <f>IF(ISBLANK(A75)," ",VLOOKUP((A75),SONUC!$A$2:$L$10000,6,FALSE))</f>
        <v xml:space="preserve"> </v>
      </c>
      <c r="H75" s="4" t="str">
        <f>IF(ISBLANK(A75)," ",VLOOKUP((A75),SONUC!$A$2:$L$10000,7,FALSE))</f>
        <v xml:space="preserve"> </v>
      </c>
      <c r="I75" s="4" t="str">
        <f>IF(ISBLANK(A75)," ",VLOOKUP((A75),SONUC!$A$2:$L$10000,8,FALSE))</f>
        <v xml:space="preserve"> </v>
      </c>
      <c r="J75" s="4" t="str">
        <f>IF(ISBLANK(A75)," ",VLOOKUP((A75),SONUC!$A$2:$L$10000,9,FALSE))</f>
        <v xml:space="preserve"> </v>
      </c>
      <c r="K75" s="4" t="str">
        <f>IF(ISBLANK(A75)," ",VLOOKUP((A75),SONUC!$A$2:$L$10000,10,FALSE))</f>
        <v xml:space="preserve"> </v>
      </c>
      <c r="L75" s="4" t="str">
        <f>IF(ISBLANK(A75)," ",VLOOKUP((A75),SONUC!$A$2:$L$10000,11,FALSE))</f>
        <v xml:space="preserve"> </v>
      </c>
      <c r="M75" s="4" t="str">
        <f>IF(ISBLANK(A75)," ",VLOOKUP((A75),SONUC!$A$2:$L$10000,12,FALSE))</f>
        <v xml:space="preserve"> </v>
      </c>
    </row>
    <row r="76" spans="1:13" x14ac:dyDescent="0.25">
      <c r="A76" s="8"/>
      <c r="B76" s="4">
        <v>75</v>
      </c>
      <c r="C76" s="4" t="str">
        <f>IF(ISBLANK(A76)," ",VLOOKUP((A76),SONUC!$A$2:$L$10000,2,FALSE))</f>
        <v xml:space="preserve"> </v>
      </c>
      <c r="D76" s="4" t="str">
        <f>IF(ISBLANK(A76)," ",VLOOKUP((A76),SONUC!$A$2:$L$10000,3,FALSE))</f>
        <v xml:space="preserve"> </v>
      </c>
      <c r="E76" s="4" t="str">
        <f>IF(ISBLANK(A76)," ",VLOOKUP((A76),SONUC!$A$2:$L$10000,4,FALSE))</f>
        <v xml:space="preserve"> </v>
      </c>
      <c r="F76" s="4" t="str">
        <f>IF(ISBLANK(A76)," ",VLOOKUP((A76),SONUC!$A$2:$L$10000,5,FALSE))</f>
        <v xml:space="preserve"> </v>
      </c>
      <c r="G76" s="4" t="str">
        <f>IF(ISBLANK(A76)," ",VLOOKUP((A76),SONUC!$A$2:$L$10000,6,FALSE))</f>
        <v xml:space="preserve"> </v>
      </c>
      <c r="H76" s="4" t="str">
        <f>IF(ISBLANK(A76)," ",VLOOKUP((A76),SONUC!$A$2:$L$10000,7,FALSE))</f>
        <v xml:space="preserve"> </v>
      </c>
      <c r="I76" s="4" t="str">
        <f>IF(ISBLANK(A76)," ",VLOOKUP((A76),SONUC!$A$2:$L$10000,8,FALSE))</f>
        <v xml:space="preserve"> </v>
      </c>
      <c r="J76" s="4" t="str">
        <f>IF(ISBLANK(A76)," ",VLOOKUP((A76),SONUC!$A$2:$L$10000,9,FALSE))</f>
        <v xml:space="preserve"> </v>
      </c>
      <c r="K76" s="4" t="str">
        <f>IF(ISBLANK(A76)," ",VLOOKUP((A76),SONUC!$A$2:$L$10000,10,FALSE))</f>
        <v xml:space="preserve"> </v>
      </c>
      <c r="L76" s="4" t="str">
        <f>IF(ISBLANK(A76)," ",VLOOKUP((A76),SONUC!$A$2:$L$10000,11,FALSE))</f>
        <v xml:space="preserve"> </v>
      </c>
      <c r="M76" s="4" t="str">
        <f>IF(ISBLANK(A76)," ",VLOOKUP((A76),SONUC!$A$2:$L$10000,12,FALSE))</f>
        <v xml:space="preserve"> </v>
      </c>
    </row>
    <row r="77" spans="1:13" x14ac:dyDescent="0.25">
      <c r="A77" s="8"/>
      <c r="B77" s="4">
        <v>76</v>
      </c>
      <c r="C77" s="4" t="str">
        <f>IF(ISBLANK(A77)," ",VLOOKUP((A77),SONUC!$A$2:$L$10000,2,FALSE))</f>
        <v xml:space="preserve"> </v>
      </c>
      <c r="D77" s="4" t="str">
        <f>IF(ISBLANK(A77)," ",VLOOKUP((A77),SONUC!$A$2:$L$10000,3,FALSE))</f>
        <v xml:space="preserve"> </v>
      </c>
      <c r="E77" s="4" t="str">
        <f>IF(ISBLANK(A77)," ",VLOOKUP((A77),SONUC!$A$2:$L$10000,4,FALSE))</f>
        <v xml:space="preserve"> </v>
      </c>
      <c r="F77" s="4" t="str">
        <f>IF(ISBLANK(A77)," ",VLOOKUP((A77),SONUC!$A$2:$L$10000,5,FALSE))</f>
        <v xml:space="preserve"> </v>
      </c>
      <c r="G77" s="4" t="str">
        <f>IF(ISBLANK(A77)," ",VLOOKUP((A77),SONUC!$A$2:$L$10000,6,FALSE))</f>
        <v xml:space="preserve"> </v>
      </c>
      <c r="H77" s="4" t="str">
        <f>IF(ISBLANK(A77)," ",VLOOKUP((A77),SONUC!$A$2:$L$10000,7,FALSE))</f>
        <v xml:space="preserve"> </v>
      </c>
      <c r="I77" s="4" t="str">
        <f>IF(ISBLANK(A77)," ",VLOOKUP((A77),SONUC!$A$2:$L$10000,8,FALSE))</f>
        <v xml:space="preserve"> </v>
      </c>
      <c r="J77" s="4" t="str">
        <f>IF(ISBLANK(A77)," ",VLOOKUP((A77),SONUC!$A$2:$L$10000,9,FALSE))</f>
        <v xml:space="preserve"> </v>
      </c>
      <c r="K77" s="4" t="str">
        <f>IF(ISBLANK(A77)," ",VLOOKUP((A77),SONUC!$A$2:$L$10000,10,FALSE))</f>
        <v xml:space="preserve"> </v>
      </c>
      <c r="L77" s="4" t="str">
        <f>IF(ISBLANK(A77)," ",VLOOKUP((A77),SONUC!$A$2:$L$10000,11,FALSE))</f>
        <v xml:space="preserve"> </v>
      </c>
      <c r="M77" s="4" t="str">
        <f>IF(ISBLANK(A77)," ",VLOOKUP((A77),SONUC!$A$2:$L$10000,12,FALSE))</f>
        <v xml:space="preserve"> </v>
      </c>
    </row>
    <row r="78" spans="1:13" x14ac:dyDescent="0.25">
      <c r="A78" s="8"/>
      <c r="B78" s="4">
        <v>77</v>
      </c>
      <c r="C78" s="4" t="str">
        <f>IF(ISBLANK(A78)," ",VLOOKUP((A78),SONUC!$A$2:$L$10000,2,FALSE))</f>
        <v xml:space="preserve"> </v>
      </c>
      <c r="D78" s="4" t="str">
        <f>IF(ISBLANK(A78)," ",VLOOKUP((A78),SONUC!$A$2:$L$10000,3,FALSE))</f>
        <v xml:space="preserve"> </v>
      </c>
      <c r="E78" s="4" t="str">
        <f>IF(ISBLANK(A78)," ",VLOOKUP((A78),SONUC!$A$2:$L$10000,4,FALSE))</f>
        <v xml:space="preserve"> </v>
      </c>
      <c r="F78" s="4" t="str">
        <f>IF(ISBLANK(A78)," ",VLOOKUP((A78),SONUC!$A$2:$L$10000,5,FALSE))</f>
        <v xml:space="preserve"> </v>
      </c>
      <c r="G78" s="4" t="str">
        <f>IF(ISBLANK(A78)," ",VLOOKUP((A78),SONUC!$A$2:$L$10000,6,FALSE))</f>
        <v xml:space="preserve"> </v>
      </c>
      <c r="H78" s="4" t="str">
        <f>IF(ISBLANK(A78)," ",VLOOKUP((A78),SONUC!$A$2:$L$10000,7,FALSE))</f>
        <v xml:space="preserve"> </v>
      </c>
      <c r="I78" s="4" t="str">
        <f>IF(ISBLANK(A78)," ",VLOOKUP((A78),SONUC!$A$2:$L$10000,8,FALSE))</f>
        <v xml:space="preserve"> </v>
      </c>
      <c r="J78" s="4" t="str">
        <f>IF(ISBLANK(A78)," ",VLOOKUP((A78),SONUC!$A$2:$L$10000,9,FALSE))</f>
        <v xml:space="preserve"> </v>
      </c>
      <c r="K78" s="4" t="str">
        <f>IF(ISBLANK(A78)," ",VLOOKUP((A78),SONUC!$A$2:$L$10000,10,FALSE))</f>
        <v xml:space="preserve"> </v>
      </c>
      <c r="L78" s="4" t="str">
        <f>IF(ISBLANK(A78)," ",VLOOKUP((A78),SONUC!$A$2:$L$10000,11,FALSE))</f>
        <v xml:space="preserve"> </v>
      </c>
      <c r="M78" s="4" t="str">
        <f>IF(ISBLANK(A78)," ",VLOOKUP((A78),SONUC!$A$2:$L$10000,12,FALSE))</f>
        <v xml:space="preserve"> </v>
      </c>
    </row>
    <row r="79" spans="1:13" x14ac:dyDescent="0.25">
      <c r="A79" s="8"/>
      <c r="B79" s="4">
        <v>78</v>
      </c>
      <c r="C79" s="4" t="str">
        <f>IF(ISBLANK(A79)," ",VLOOKUP((A79),SONUC!$A$2:$L$10000,2,FALSE))</f>
        <v xml:space="preserve"> </v>
      </c>
      <c r="D79" s="4" t="str">
        <f>IF(ISBLANK(A79)," ",VLOOKUP((A79),SONUC!$A$2:$L$10000,3,FALSE))</f>
        <v xml:space="preserve"> </v>
      </c>
      <c r="E79" s="4" t="str">
        <f>IF(ISBLANK(A79)," ",VLOOKUP((A79),SONUC!$A$2:$L$10000,4,FALSE))</f>
        <v xml:space="preserve"> </v>
      </c>
      <c r="F79" s="4" t="str">
        <f>IF(ISBLANK(A79)," ",VLOOKUP((A79),SONUC!$A$2:$L$10000,5,FALSE))</f>
        <v xml:space="preserve"> </v>
      </c>
      <c r="G79" s="4" t="str">
        <f>IF(ISBLANK(A79)," ",VLOOKUP((A79),SONUC!$A$2:$L$10000,6,FALSE))</f>
        <v xml:space="preserve"> </v>
      </c>
      <c r="H79" s="4" t="str">
        <f>IF(ISBLANK(A79)," ",VLOOKUP((A79),SONUC!$A$2:$L$10000,7,FALSE))</f>
        <v xml:space="preserve"> </v>
      </c>
      <c r="I79" s="4" t="str">
        <f>IF(ISBLANK(A79)," ",VLOOKUP((A79),SONUC!$A$2:$L$10000,8,FALSE))</f>
        <v xml:space="preserve"> </v>
      </c>
      <c r="J79" s="4" t="str">
        <f>IF(ISBLANK(A79)," ",VLOOKUP((A79),SONUC!$A$2:$L$10000,9,FALSE))</f>
        <v xml:space="preserve"> </v>
      </c>
      <c r="K79" s="4" t="str">
        <f>IF(ISBLANK(A79)," ",VLOOKUP((A79),SONUC!$A$2:$L$10000,10,FALSE))</f>
        <v xml:space="preserve"> </v>
      </c>
      <c r="L79" s="4" t="str">
        <f>IF(ISBLANK(A79)," ",VLOOKUP((A79),SONUC!$A$2:$L$10000,11,FALSE))</f>
        <v xml:space="preserve"> </v>
      </c>
      <c r="M79" s="4" t="str">
        <f>IF(ISBLANK(A79)," ",VLOOKUP((A79),SONUC!$A$2:$L$10000,12,FALSE))</f>
        <v xml:space="preserve"> </v>
      </c>
    </row>
    <row r="80" spans="1:13" x14ac:dyDescent="0.25">
      <c r="A80" s="8"/>
      <c r="B80" s="4">
        <v>79</v>
      </c>
      <c r="C80" s="4" t="str">
        <f>IF(ISBLANK(A80)," ",VLOOKUP((A80),SONUC!$A$2:$L$10000,2,FALSE))</f>
        <v xml:space="preserve"> </v>
      </c>
      <c r="D80" s="4" t="str">
        <f>IF(ISBLANK(A80)," ",VLOOKUP((A80),SONUC!$A$2:$L$10000,3,FALSE))</f>
        <v xml:space="preserve"> </v>
      </c>
      <c r="E80" s="4" t="str">
        <f>IF(ISBLANK(A80)," ",VLOOKUP((A80),SONUC!$A$2:$L$10000,4,FALSE))</f>
        <v xml:space="preserve"> </v>
      </c>
      <c r="F80" s="4" t="str">
        <f>IF(ISBLANK(A80)," ",VLOOKUP((A80),SONUC!$A$2:$L$10000,5,FALSE))</f>
        <v xml:space="preserve"> </v>
      </c>
      <c r="G80" s="4" t="str">
        <f>IF(ISBLANK(A80)," ",VLOOKUP((A80),SONUC!$A$2:$L$10000,6,FALSE))</f>
        <v xml:space="preserve"> </v>
      </c>
      <c r="H80" s="4" t="str">
        <f>IF(ISBLANK(A80)," ",VLOOKUP((A80),SONUC!$A$2:$L$10000,7,FALSE))</f>
        <v xml:space="preserve"> </v>
      </c>
      <c r="I80" s="4" t="str">
        <f>IF(ISBLANK(A80)," ",VLOOKUP((A80),SONUC!$A$2:$L$10000,8,FALSE))</f>
        <v xml:space="preserve"> </v>
      </c>
      <c r="J80" s="4" t="str">
        <f>IF(ISBLANK(A80)," ",VLOOKUP((A80),SONUC!$A$2:$L$10000,9,FALSE))</f>
        <v xml:space="preserve"> </v>
      </c>
      <c r="K80" s="4" t="str">
        <f>IF(ISBLANK(A80)," ",VLOOKUP((A80),SONUC!$A$2:$L$10000,10,FALSE))</f>
        <v xml:space="preserve"> </v>
      </c>
      <c r="L80" s="4" t="str">
        <f>IF(ISBLANK(A80)," ",VLOOKUP((A80),SONUC!$A$2:$L$10000,11,FALSE))</f>
        <v xml:space="preserve"> </v>
      </c>
      <c r="M80" s="4" t="str">
        <f>IF(ISBLANK(A80)," ",VLOOKUP((A80),SONUC!$A$2:$L$10000,12,FALSE))</f>
        <v xml:space="preserve"> </v>
      </c>
    </row>
    <row r="81" spans="1:13" x14ac:dyDescent="0.25">
      <c r="A81" s="8"/>
      <c r="B81" s="4">
        <v>80</v>
      </c>
      <c r="C81" s="4" t="str">
        <f>IF(ISBLANK(A81)," ",VLOOKUP((A81),SONUC!$A$2:$L$10000,2,FALSE))</f>
        <v xml:space="preserve"> </v>
      </c>
      <c r="D81" s="4" t="str">
        <f>IF(ISBLANK(A81)," ",VLOOKUP((A81),SONUC!$A$2:$L$10000,3,FALSE))</f>
        <v xml:space="preserve"> </v>
      </c>
      <c r="E81" s="4" t="str">
        <f>IF(ISBLANK(A81)," ",VLOOKUP((A81),SONUC!$A$2:$L$10000,4,FALSE))</f>
        <v xml:space="preserve"> </v>
      </c>
      <c r="F81" s="4" t="str">
        <f>IF(ISBLANK(A81)," ",VLOOKUP((A81),SONUC!$A$2:$L$10000,5,FALSE))</f>
        <v xml:space="preserve"> </v>
      </c>
      <c r="G81" s="4" t="str">
        <f>IF(ISBLANK(A81)," ",VLOOKUP((A81),SONUC!$A$2:$L$10000,6,FALSE))</f>
        <v xml:space="preserve"> </v>
      </c>
      <c r="H81" s="4" t="str">
        <f>IF(ISBLANK(A81)," ",VLOOKUP((A81),SONUC!$A$2:$L$10000,7,FALSE))</f>
        <v xml:space="preserve"> </v>
      </c>
      <c r="I81" s="4" t="str">
        <f>IF(ISBLANK(A81)," ",VLOOKUP((A81),SONUC!$A$2:$L$10000,8,FALSE))</f>
        <v xml:space="preserve"> </v>
      </c>
      <c r="J81" s="4" t="str">
        <f>IF(ISBLANK(A81)," ",VLOOKUP((A81),SONUC!$A$2:$L$10000,9,FALSE))</f>
        <v xml:space="preserve"> </v>
      </c>
      <c r="K81" s="4" t="str">
        <f>IF(ISBLANK(A81)," ",VLOOKUP((A81),SONUC!$A$2:$L$10000,10,FALSE))</f>
        <v xml:space="preserve"> </v>
      </c>
      <c r="L81" s="4" t="str">
        <f>IF(ISBLANK(A81)," ",VLOOKUP((A81),SONUC!$A$2:$L$10000,11,FALSE))</f>
        <v xml:space="preserve"> </v>
      </c>
      <c r="M81" s="4" t="str">
        <f>IF(ISBLANK(A81)," ",VLOOKUP((A81),SONUC!$A$2:$L$10000,12,FALSE))</f>
        <v xml:space="preserve"> </v>
      </c>
    </row>
    <row r="82" spans="1:13" x14ac:dyDescent="0.25">
      <c r="A82" s="8"/>
      <c r="B82" s="4">
        <v>81</v>
      </c>
      <c r="C82" s="4" t="str">
        <f>IF(ISBLANK(A82)," ",VLOOKUP((A82),SONUC!$A$2:$L$10000,2,FALSE))</f>
        <v xml:space="preserve"> </v>
      </c>
      <c r="D82" s="4" t="str">
        <f>IF(ISBLANK(A82)," ",VLOOKUP((A82),SONUC!$A$2:$L$10000,3,FALSE))</f>
        <v xml:space="preserve"> </v>
      </c>
      <c r="E82" s="4" t="str">
        <f>IF(ISBLANK(A82)," ",VLOOKUP((A82),SONUC!$A$2:$L$10000,4,FALSE))</f>
        <v xml:space="preserve"> </v>
      </c>
      <c r="F82" s="4" t="str">
        <f>IF(ISBLANK(A82)," ",VLOOKUP((A82),SONUC!$A$2:$L$10000,5,FALSE))</f>
        <v xml:space="preserve"> </v>
      </c>
      <c r="G82" s="4" t="str">
        <f>IF(ISBLANK(A82)," ",VLOOKUP((A82),SONUC!$A$2:$L$10000,6,FALSE))</f>
        <v xml:space="preserve"> </v>
      </c>
      <c r="H82" s="4" t="str">
        <f>IF(ISBLANK(A82)," ",VLOOKUP((A82),SONUC!$A$2:$L$10000,7,FALSE))</f>
        <v xml:space="preserve"> </v>
      </c>
      <c r="I82" s="4" t="str">
        <f>IF(ISBLANK(A82)," ",VLOOKUP((A82),SONUC!$A$2:$L$10000,8,FALSE))</f>
        <v xml:space="preserve"> </v>
      </c>
      <c r="J82" s="4" t="str">
        <f>IF(ISBLANK(A82)," ",VLOOKUP((A82),SONUC!$A$2:$L$10000,9,FALSE))</f>
        <v xml:space="preserve"> </v>
      </c>
      <c r="K82" s="4" t="str">
        <f>IF(ISBLANK(A82)," ",VLOOKUP((A82),SONUC!$A$2:$L$10000,10,FALSE))</f>
        <v xml:space="preserve"> </v>
      </c>
      <c r="L82" s="4" t="str">
        <f>IF(ISBLANK(A82)," ",VLOOKUP((A82),SONUC!$A$2:$L$10000,11,FALSE))</f>
        <v xml:space="preserve"> </v>
      </c>
      <c r="M82" s="4" t="str">
        <f>IF(ISBLANK(A82)," ",VLOOKUP((A82),SONUC!$A$2:$L$10000,12,FALSE))</f>
        <v xml:space="preserve"> </v>
      </c>
    </row>
    <row r="83" spans="1:13" x14ac:dyDescent="0.25">
      <c r="A83" s="8"/>
      <c r="B83" s="4">
        <v>82</v>
      </c>
      <c r="C83" s="4" t="str">
        <f>IF(ISBLANK(A83)," ",VLOOKUP((A83),SONUC!$A$2:$L$10000,2,FALSE))</f>
        <v xml:space="preserve"> </v>
      </c>
      <c r="D83" s="4" t="str">
        <f>IF(ISBLANK(A83)," ",VLOOKUP((A83),SONUC!$A$2:$L$10000,3,FALSE))</f>
        <v xml:space="preserve"> </v>
      </c>
      <c r="E83" s="4" t="str">
        <f>IF(ISBLANK(A83)," ",VLOOKUP((A83),SONUC!$A$2:$L$10000,4,FALSE))</f>
        <v xml:space="preserve"> </v>
      </c>
      <c r="F83" s="4" t="str">
        <f>IF(ISBLANK(A83)," ",VLOOKUP((A83),SONUC!$A$2:$L$10000,5,FALSE))</f>
        <v xml:space="preserve"> </v>
      </c>
      <c r="G83" s="4" t="str">
        <f>IF(ISBLANK(A83)," ",VLOOKUP((A83),SONUC!$A$2:$L$10000,6,FALSE))</f>
        <v xml:space="preserve"> </v>
      </c>
      <c r="H83" s="4" t="str">
        <f>IF(ISBLANK(A83)," ",VLOOKUP((A83),SONUC!$A$2:$L$10000,7,FALSE))</f>
        <v xml:space="preserve"> </v>
      </c>
      <c r="I83" s="4" t="str">
        <f>IF(ISBLANK(A83)," ",VLOOKUP((A83),SONUC!$A$2:$L$10000,8,FALSE))</f>
        <v xml:space="preserve"> </v>
      </c>
      <c r="J83" s="4" t="str">
        <f>IF(ISBLANK(A83)," ",VLOOKUP((A83),SONUC!$A$2:$L$10000,9,FALSE))</f>
        <v xml:space="preserve"> </v>
      </c>
      <c r="K83" s="4" t="str">
        <f>IF(ISBLANK(A83)," ",VLOOKUP((A83),SONUC!$A$2:$L$10000,10,FALSE))</f>
        <v xml:space="preserve"> </v>
      </c>
      <c r="L83" s="4" t="str">
        <f>IF(ISBLANK(A83)," ",VLOOKUP((A83),SONUC!$A$2:$L$10000,11,FALSE))</f>
        <v xml:space="preserve"> </v>
      </c>
      <c r="M83" s="4" t="str">
        <f>IF(ISBLANK(A83)," ",VLOOKUP((A83),SONUC!$A$2:$L$10000,12,FALSE))</f>
        <v xml:space="preserve"> </v>
      </c>
    </row>
    <row r="84" spans="1:13" x14ac:dyDescent="0.25">
      <c r="A84" s="8"/>
      <c r="B84" s="4">
        <v>83</v>
      </c>
      <c r="C84" s="4" t="str">
        <f>IF(ISBLANK(A84)," ",VLOOKUP((A84),SONUC!$A$2:$L$10000,2,FALSE))</f>
        <v xml:space="preserve"> </v>
      </c>
      <c r="D84" s="4" t="str">
        <f>IF(ISBLANK(A84)," ",VLOOKUP((A84),SONUC!$A$2:$L$10000,3,FALSE))</f>
        <v xml:space="preserve"> </v>
      </c>
      <c r="E84" s="4" t="str">
        <f>IF(ISBLANK(A84)," ",VLOOKUP((A84),SONUC!$A$2:$L$10000,4,FALSE))</f>
        <v xml:space="preserve"> </v>
      </c>
      <c r="F84" s="4" t="str">
        <f>IF(ISBLANK(A84)," ",VLOOKUP((A84),SONUC!$A$2:$L$10000,5,FALSE))</f>
        <v xml:space="preserve"> </v>
      </c>
      <c r="G84" s="4" t="str">
        <f>IF(ISBLANK(A84)," ",VLOOKUP((A84),SONUC!$A$2:$L$10000,6,FALSE))</f>
        <v xml:space="preserve"> </v>
      </c>
      <c r="H84" s="4" t="str">
        <f>IF(ISBLANK(A84)," ",VLOOKUP((A84),SONUC!$A$2:$L$10000,7,FALSE))</f>
        <v xml:space="preserve"> </v>
      </c>
      <c r="I84" s="4" t="str">
        <f>IF(ISBLANK(A84)," ",VLOOKUP((A84),SONUC!$A$2:$L$10000,8,FALSE))</f>
        <v xml:space="preserve"> </v>
      </c>
      <c r="J84" s="4" t="str">
        <f>IF(ISBLANK(A84)," ",VLOOKUP((A84),SONUC!$A$2:$L$10000,9,FALSE))</f>
        <v xml:space="preserve"> </v>
      </c>
      <c r="K84" s="4" t="str">
        <f>IF(ISBLANK(A84)," ",VLOOKUP((A84),SONUC!$A$2:$L$10000,10,FALSE))</f>
        <v xml:space="preserve"> </v>
      </c>
      <c r="L84" s="4" t="str">
        <f>IF(ISBLANK(A84)," ",VLOOKUP((A84),SONUC!$A$2:$L$10000,11,FALSE))</f>
        <v xml:space="preserve"> </v>
      </c>
      <c r="M84" s="4" t="str">
        <f>IF(ISBLANK(A84)," ",VLOOKUP((A84),SONUC!$A$2:$L$10000,12,FALSE))</f>
        <v xml:space="preserve"> </v>
      </c>
    </row>
    <row r="85" spans="1:13" x14ac:dyDescent="0.25">
      <c r="A85" s="8"/>
      <c r="B85" s="4">
        <v>84</v>
      </c>
      <c r="C85" s="4" t="str">
        <f>IF(ISBLANK(A85)," ",VLOOKUP((A85),SONUC!$A$2:$L$10000,2,FALSE))</f>
        <v xml:space="preserve"> </v>
      </c>
      <c r="D85" s="4" t="str">
        <f>IF(ISBLANK(A85)," ",VLOOKUP((A85),SONUC!$A$2:$L$10000,3,FALSE))</f>
        <v xml:space="preserve"> </v>
      </c>
      <c r="E85" s="4" t="str">
        <f>IF(ISBLANK(A85)," ",VLOOKUP((A85),SONUC!$A$2:$L$10000,4,FALSE))</f>
        <v xml:space="preserve"> </v>
      </c>
      <c r="F85" s="4" t="str">
        <f>IF(ISBLANK(A85)," ",VLOOKUP((A85),SONUC!$A$2:$L$10000,5,FALSE))</f>
        <v xml:space="preserve"> </v>
      </c>
      <c r="G85" s="4" t="str">
        <f>IF(ISBLANK(A85)," ",VLOOKUP((A85),SONUC!$A$2:$L$10000,6,FALSE))</f>
        <v xml:space="preserve"> </v>
      </c>
      <c r="H85" s="4" t="str">
        <f>IF(ISBLANK(A85)," ",VLOOKUP((A85),SONUC!$A$2:$L$10000,7,FALSE))</f>
        <v xml:space="preserve"> </v>
      </c>
      <c r="I85" s="4" t="str">
        <f>IF(ISBLANK(A85)," ",VLOOKUP((A85),SONUC!$A$2:$L$10000,8,FALSE))</f>
        <v xml:space="preserve"> </v>
      </c>
      <c r="J85" s="4" t="str">
        <f>IF(ISBLANK(A85)," ",VLOOKUP((A85),SONUC!$A$2:$L$10000,9,FALSE))</f>
        <v xml:space="preserve"> </v>
      </c>
      <c r="K85" s="4" t="str">
        <f>IF(ISBLANK(A85)," ",VLOOKUP((A85),SONUC!$A$2:$L$10000,10,FALSE))</f>
        <v xml:space="preserve"> </v>
      </c>
      <c r="L85" s="4" t="str">
        <f>IF(ISBLANK(A85)," ",VLOOKUP((A85),SONUC!$A$2:$L$10000,11,FALSE))</f>
        <v xml:space="preserve"> </v>
      </c>
      <c r="M85" s="4" t="str">
        <f>IF(ISBLANK(A85)," ",VLOOKUP((A85),SONUC!$A$2:$L$10000,12,FALSE))</f>
        <v xml:space="preserve"> </v>
      </c>
    </row>
    <row r="86" spans="1:13" x14ac:dyDescent="0.25">
      <c r="A86" s="8"/>
      <c r="B86" s="4">
        <v>85</v>
      </c>
      <c r="C86" s="4" t="str">
        <f>IF(ISBLANK(A86)," ",VLOOKUP((A86),SONUC!$A$2:$L$10000,2,FALSE))</f>
        <v xml:space="preserve"> </v>
      </c>
      <c r="D86" s="4" t="str">
        <f>IF(ISBLANK(A86)," ",VLOOKUP((A86),SONUC!$A$2:$L$10000,3,FALSE))</f>
        <v xml:space="preserve"> </v>
      </c>
      <c r="E86" s="4" t="str">
        <f>IF(ISBLANK(A86)," ",VLOOKUP((A86),SONUC!$A$2:$L$10000,4,FALSE))</f>
        <v xml:space="preserve"> </v>
      </c>
      <c r="F86" s="4" t="str">
        <f>IF(ISBLANK(A86)," ",VLOOKUP((A86),SONUC!$A$2:$L$10000,5,FALSE))</f>
        <v xml:space="preserve"> </v>
      </c>
      <c r="G86" s="4" t="str">
        <f>IF(ISBLANK(A86)," ",VLOOKUP((A86),SONUC!$A$2:$L$10000,6,FALSE))</f>
        <v xml:space="preserve"> </v>
      </c>
      <c r="H86" s="4" t="str">
        <f>IF(ISBLANK(A86)," ",VLOOKUP((A86),SONUC!$A$2:$L$10000,7,FALSE))</f>
        <v xml:space="preserve"> </v>
      </c>
      <c r="I86" s="4" t="str">
        <f>IF(ISBLANK(A86)," ",VLOOKUP((A86),SONUC!$A$2:$L$10000,8,FALSE))</f>
        <v xml:space="preserve"> </v>
      </c>
      <c r="J86" s="4" t="str">
        <f>IF(ISBLANK(A86)," ",VLOOKUP((A86),SONUC!$A$2:$L$10000,9,FALSE))</f>
        <v xml:space="preserve"> </v>
      </c>
      <c r="K86" s="4" t="str">
        <f>IF(ISBLANK(A86)," ",VLOOKUP((A86),SONUC!$A$2:$L$10000,10,FALSE))</f>
        <v xml:space="preserve"> </v>
      </c>
      <c r="L86" s="4" t="str">
        <f>IF(ISBLANK(A86)," ",VLOOKUP((A86),SONUC!$A$2:$L$10000,11,FALSE))</f>
        <v xml:space="preserve"> </v>
      </c>
      <c r="M86" s="4" t="str">
        <f>IF(ISBLANK(A86)," ",VLOOKUP((A86),SONUC!$A$2:$L$10000,12,FALSE))</f>
        <v xml:space="preserve"> </v>
      </c>
    </row>
    <row r="87" spans="1:13" x14ac:dyDescent="0.25">
      <c r="A87" s="8"/>
      <c r="B87" s="4">
        <v>86</v>
      </c>
      <c r="C87" s="4" t="str">
        <f>IF(ISBLANK(A87)," ",VLOOKUP((A87),SONUC!$A$2:$L$10000,2,FALSE))</f>
        <v xml:space="preserve"> </v>
      </c>
      <c r="D87" s="4" t="str">
        <f>IF(ISBLANK(A87)," ",VLOOKUP((A87),SONUC!$A$2:$L$10000,3,FALSE))</f>
        <v xml:space="preserve"> </v>
      </c>
      <c r="E87" s="4" t="str">
        <f>IF(ISBLANK(A87)," ",VLOOKUP((A87),SONUC!$A$2:$L$10000,4,FALSE))</f>
        <v xml:space="preserve"> </v>
      </c>
      <c r="F87" s="4" t="str">
        <f>IF(ISBLANK(A87)," ",VLOOKUP((A87),SONUC!$A$2:$L$10000,5,FALSE))</f>
        <v xml:space="preserve"> </v>
      </c>
      <c r="G87" s="4" t="str">
        <f>IF(ISBLANK(A87)," ",VLOOKUP((A87),SONUC!$A$2:$L$10000,6,FALSE))</f>
        <v xml:space="preserve"> </v>
      </c>
      <c r="H87" s="4" t="str">
        <f>IF(ISBLANK(A87)," ",VLOOKUP((A87),SONUC!$A$2:$L$10000,7,FALSE))</f>
        <v xml:space="preserve"> </v>
      </c>
      <c r="I87" s="4" t="str">
        <f>IF(ISBLANK(A87)," ",VLOOKUP((A87),SONUC!$A$2:$L$10000,8,FALSE))</f>
        <v xml:space="preserve"> </v>
      </c>
      <c r="J87" s="4" t="str">
        <f>IF(ISBLANK(A87)," ",VLOOKUP((A87),SONUC!$A$2:$L$10000,9,FALSE))</f>
        <v xml:space="preserve"> </v>
      </c>
      <c r="K87" s="4" t="str">
        <f>IF(ISBLANK(A87)," ",VLOOKUP((A87),SONUC!$A$2:$L$10000,10,FALSE))</f>
        <v xml:space="preserve"> </v>
      </c>
      <c r="L87" s="4" t="str">
        <f>IF(ISBLANK(A87)," ",VLOOKUP((A87),SONUC!$A$2:$L$10000,11,FALSE))</f>
        <v xml:space="preserve"> </v>
      </c>
      <c r="M87" s="4" t="str">
        <f>IF(ISBLANK(A87)," ",VLOOKUP((A87),SONUC!$A$2:$L$10000,12,FALSE))</f>
        <v xml:space="preserve"> </v>
      </c>
    </row>
    <row r="88" spans="1:13" x14ac:dyDescent="0.25">
      <c r="A88" s="8"/>
      <c r="B88" s="4">
        <v>87</v>
      </c>
      <c r="C88" s="4" t="str">
        <f>IF(ISBLANK(A88)," ",VLOOKUP((A88),SONUC!$A$2:$L$10000,2,FALSE))</f>
        <v xml:space="preserve"> </v>
      </c>
      <c r="D88" s="4" t="str">
        <f>IF(ISBLANK(A88)," ",VLOOKUP((A88),SONUC!$A$2:$L$10000,3,FALSE))</f>
        <v xml:space="preserve"> </v>
      </c>
      <c r="E88" s="4" t="str">
        <f>IF(ISBLANK(A88)," ",VLOOKUP((A88),SONUC!$A$2:$L$10000,4,FALSE))</f>
        <v xml:space="preserve"> </v>
      </c>
      <c r="F88" s="4" t="str">
        <f>IF(ISBLANK(A88)," ",VLOOKUP((A88),SONUC!$A$2:$L$10000,5,FALSE))</f>
        <v xml:space="preserve"> </v>
      </c>
      <c r="G88" s="4" t="str">
        <f>IF(ISBLANK(A88)," ",VLOOKUP((A88),SONUC!$A$2:$L$10000,6,FALSE))</f>
        <v xml:space="preserve"> </v>
      </c>
      <c r="H88" s="4" t="str">
        <f>IF(ISBLANK(A88)," ",VLOOKUP((A88),SONUC!$A$2:$L$10000,7,FALSE))</f>
        <v xml:space="preserve"> </v>
      </c>
      <c r="I88" s="4" t="str">
        <f>IF(ISBLANK(A88)," ",VLOOKUP((A88),SONUC!$A$2:$L$10000,8,FALSE))</f>
        <v xml:space="preserve"> </v>
      </c>
      <c r="J88" s="4" t="str">
        <f>IF(ISBLANK(A88)," ",VLOOKUP((A88),SONUC!$A$2:$L$10000,9,FALSE))</f>
        <v xml:space="preserve"> </v>
      </c>
      <c r="K88" s="4" t="str">
        <f>IF(ISBLANK(A88)," ",VLOOKUP((A88),SONUC!$A$2:$L$10000,10,FALSE))</f>
        <v xml:space="preserve"> </v>
      </c>
      <c r="L88" s="4" t="str">
        <f>IF(ISBLANK(A88)," ",VLOOKUP((A88),SONUC!$A$2:$L$10000,11,FALSE))</f>
        <v xml:space="preserve"> </v>
      </c>
      <c r="M88" s="4" t="str">
        <f>IF(ISBLANK(A88)," ",VLOOKUP((A88),SONUC!$A$2:$L$10000,12,FALSE))</f>
        <v xml:space="preserve"> </v>
      </c>
    </row>
    <row r="89" spans="1:13" x14ac:dyDescent="0.25">
      <c r="A89" s="8"/>
      <c r="B89" s="4">
        <v>88</v>
      </c>
      <c r="C89" s="4" t="str">
        <f>IF(ISBLANK(A89)," ",VLOOKUP((A89),SONUC!$A$2:$L$10000,2,FALSE))</f>
        <v xml:space="preserve"> </v>
      </c>
      <c r="D89" s="4" t="str">
        <f>IF(ISBLANK(A89)," ",VLOOKUP((A89),SONUC!$A$2:$L$10000,3,FALSE))</f>
        <v xml:space="preserve"> </v>
      </c>
      <c r="E89" s="4" t="str">
        <f>IF(ISBLANK(A89)," ",VLOOKUP((A89),SONUC!$A$2:$L$10000,4,FALSE))</f>
        <v xml:space="preserve"> </v>
      </c>
      <c r="F89" s="4" t="str">
        <f>IF(ISBLANK(A89)," ",VLOOKUP((A89),SONUC!$A$2:$L$10000,5,FALSE))</f>
        <v xml:space="preserve"> </v>
      </c>
      <c r="G89" s="4" t="str">
        <f>IF(ISBLANK(A89)," ",VLOOKUP((A89),SONUC!$A$2:$L$10000,6,FALSE))</f>
        <v xml:space="preserve"> </v>
      </c>
      <c r="H89" s="4" t="str">
        <f>IF(ISBLANK(A89)," ",VLOOKUP((A89),SONUC!$A$2:$L$10000,7,FALSE))</f>
        <v xml:space="preserve"> </v>
      </c>
      <c r="I89" s="4" t="str">
        <f>IF(ISBLANK(A89)," ",VLOOKUP((A89),SONUC!$A$2:$L$10000,8,FALSE))</f>
        <v xml:space="preserve"> </v>
      </c>
      <c r="J89" s="4" t="str">
        <f>IF(ISBLANK(A89)," ",VLOOKUP((A89),SONUC!$A$2:$L$10000,9,FALSE))</f>
        <v xml:space="preserve"> </v>
      </c>
      <c r="K89" s="4" t="str">
        <f>IF(ISBLANK(A89)," ",VLOOKUP((A89),SONUC!$A$2:$L$10000,10,FALSE))</f>
        <v xml:space="preserve"> </v>
      </c>
      <c r="L89" s="4" t="str">
        <f>IF(ISBLANK(A89)," ",VLOOKUP((A89),SONUC!$A$2:$L$10000,11,FALSE))</f>
        <v xml:space="preserve"> </v>
      </c>
      <c r="M89" s="4" t="str">
        <f>IF(ISBLANK(A89)," ",VLOOKUP((A89),SONUC!$A$2:$L$10000,12,FALSE))</f>
        <v xml:space="preserve"> </v>
      </c>
    </row>
    <row r="90" spans="1:13" x14ac:dyDescent="0.25">
      <c r="A90" s="8"/>
      <c r="B90" s="4">
        <v>89</v>
      </c>
      <c r="C90" s="4" t="str">
        <f>IF(ISBLANK(A90)," ",VLOOKUP((A90),SONUC!$A$2:$L$10000,2,FALSE))</f>
        <v xml:space="preserve"> </v>
      </c>
      <c r="D90" s="4" t="str">
        <f>IF(ISBLANK(A90)," ",VLOOKUP((A90),SONUC!$A$2:$L$10000,3,FALSE))</f>
        <v xml:space="preserve"> </v>
      </c>
      <c r="E90" s="4" t="str">
        <f>IF(ISBLANK(A90)," ",VLOOKUP((A90),SONUC!$A$2:$L$10000,4,FALSE))</f>
        <v xml:space="preserve"> </v>
      </c>
      <c r="F90" s="4" t="str">
        <f>IF(ISBLANK(A90)," ",VLOOKUP((A90),SONUC!$A$2:$L$10000,5,FALSE))</f>
        <v xml:space="preserve"> </v>
      </c>
      <c r="G90" s="4" t="str">
        <f>IF(ISBLANK(A90)," ",VLOOKUP((A90),SONUC!$A$2:$L$10000,6,FALSE))</f>
        <v xml:space="preserve"> </v>
      </c>
      <c r="H90" s="4" t="str">
        <f>IF(ISBLANK(A90)," ",VLOOKUP((A90),SONUC!$A$2:$L$10000,7,FALSE))</f>
        <v xml:space="preserve"> </v>
      </c>
      <c r="I90" s="4" t="str">
        <f>IF(ISBLANK(A90)," ",VLOOKUP((A90),SONUC!$A$2:$L$10000,8,FALSE))</f>
        <v xml:space="preserve"> </v>
      </c>
      <c r="J90" s="4" t="str">
        <f>IF(ISBLANK(A90)," ",VLOOKUP((A90),SONUC!$A$2:$L$10000,9,FALSE))</f>
        <v xml:space="preserve"> </v>
      </c>
      <c r="K90" s="4" t="str">
        <f>IF(ISBLANK(A90)," ",VLOOKUP((A90),SONUC!$A$2:$L$10000,10,FALSE))</f>
        <v xml:space="preserve"> </v>
      </c>
      <c r="L90" s="4" t="str">
        <f>IF(ISBLANK(A90)," ",VLOOKUP((A90),SONUC!$A$2:$L$10000,11,FALSE))</f>
        <v xml:space="preserve"> </v>
      </c>
      <c r="M90" s="4" t="str">
        <f>IF(ISBLANK(A90)," ",VLOOKUP((A90),SONUC!$A$2:$L$10000,12,FALSE))</f>
        <v xml:space="preserve"> </v>
      </c>
    </row>
    <row r="91" spans="1:13" x14ac:dyDescent="0.25">
      <c r="A91" s="8"/>
      <c r="B91" s="4">
        <v>90</v>
      </c>
      <c r="C91" s="4" t="str">
        <f>IF(ISBLANK(A91)," ",VLOOKUP((A91),SONUC!$A$2:$L$10000,2,FALSE))</f>
        <v xml:space="preserve"> </v>
      </c>
      <c r="D91" s="4" t="str">
        <f>IF(ISBLANK(A91)," ",VLOOKUP((A91),SONUC!$A$2:$L$10000,3,FALSE))</f>
        <v xml:space="preserve"> </v>
      </c>
      <c r="E91" s="4" t="str">
        <f>IF(ISBLANK(A91)," ",VLOOKUP((A91),SONUC!$A$2:$L$10000,4,FALSE))</f>
        <v xml:space="preserve"> </v>
      </c>
      <c r="F91" s="4" t="str">
        <f>IF(ISBLANK(A91)," ",VLOOKUP((A91),SONUC!$A$2:$L$10000,5,FALSE))</f>
        <v xml:space="preserve"> </v>
      </c>
      <c r="G91" s="4" t="str">
        <f>IF(ISBLANK(A91)," ",VLOOKUP((A91),SONUC!$A$2:$L$10000,6,FALSE))</f>
        <v xml:space="preserve"> </v>
      </c>
      <c r="H91" s="4" t="str">
        <f>IF(ISBLANK(A91)," ",VLOOKUP((A91),SONUC!$A$2:$L$10000,7,FALSE))</f>
        <v xml:space="preserve"> </v>
      </c>
      <c r="I91" s="4" t="str">
        <f>IF(ISBLANK(A91)," ",VLOOKUP((A91),SONUC!$A$2:$L$10000,8,FALSE))</f>
        <v xml:space="preserve"> </v>
      </c>
      <c r="J91" s="4" t="str">
        <f>IF(ISBLANK(A91)," ",VLOOKUP((A91),SONUC!$A$2:$L$10000,9,FALSE))</f>
        <v xml:space="preserve"> </v>
      </c>
      <c r="K91" s="4" t="str">
        <f>IF(ISBLANK(A91)," ",VLOOKUP((A91),SONUC!$A$2:$L$10000,10,FALSE))</f>
        <v xml:space="preserve"> </v>
      </c>
      <c r="L91" s="4" t="str">
        <f>IF(ISBLANK(A91)," ",VLOOKUP((A91),SONUC!$A$2:$L$10000,11,FALSE))</f>
        <v xml:space="preserve"> </v>
      </c>
      <c r="M91" s="4" t="str">
        <f>IF(ISBLANK(A91)," ",VLOOKUP((A91),SONUC!$A$2:$L$10000,12,FALSE))</f>
        <v xml:space="preserve"> </v>
      </c>
    </row>
    <row r="92" spans="1:13" x14ac:dyDescent="0.25">
      <c r="A92" s="8"/>
      <c r="B92" s="4">
        <v>91</v>
      </c>
      <c r="C92" s="4" t="str">
        <f>IF(ISBLANK(A92)," ",VLOOKUP((A92),SONUC!$A$2:$L$10000,2,FALSE))</f>
        <v xml:space="preserve"> </v>
      </c>
      <c r="D92" s="4" t="str">
        <f>IF(ISBLANK(A92)," ",VLOOKUP((A92),SONUC!$A$2:$L$10000,3,FALSE))</f>
        <v xml:space="preserve"> </v>
      </c>
      <c r="E92" s="4" t="str">
        <f>IF(ISBLANK(A92)," ",VLOOKUP((A92),SONUC!$A$2:$L$10000,4,FALSE))</f>
        <v xml:space="preserve"> </v>
      </c>
      <c r="F92" s="4" t="str">
        <f>IF(ISBLANK(A92)," ",VLOOKUP((A92),SONUC!$A$2:$L$10000,5,FALSE))</f>
        <v xml:space="preserve"> </v>
      </c>
      <c r="G92" s="4" t="str">
        <f>IF(ISBLANK(A92)," ",VLOOKUP((A92),SONUC!$A$2:$L$10000,6,FALSE))</f>
        <v xml:space="preserve"> </v>
      </c>
      <c r="H92" s="4" t="str">
        <f>IF(ISBLANK(A92)," ",VLOOKUP((A92),SONUC!$A$2:$L$10000,7,FALSE))</f>
        <v xml:space="preserve"> </v>
      </c>
      <c r="I92" s="4" t="str">
        <f>IF(ISBLANK(A92)," ",VLOOKUP((A92),SONUC!$A$2:$L$10000,8,FALSE))</f>
        <v xml:space="preserve"> </v>
      </c>
      <c r="J92" s="4" t="str">
        <f>IF(ISBLANK(A92)," ",VLOOKUP((A92),SONUC!$A$2:$L$10000,9,FALSE))</f>
        <v xml:space="preserve"> </v>
      </c>
      <c r="K92" s="4" t="str">
        <f>IF(ISBLANK(A92)," ",VLOOKUP((A92),SONUC!$A$2:$L$10000,10,FALSE))</f>
        <v xml:space="preserve"> </v>
      </c>
      <c r="L92" s="4" t="str">
        <f>IF(ISBLANK(A92)," ",VLOOKUP((A92),SONUC!$A$2:$L$10000,11,FALSE))</f>
        <v xml:space="preserve"> </v>
      </c>
      <c r="M92" s="4" t="str">
        <f>IF(ISBLANK(A92)," ",VLOOKUP((A92),SONUC!$A$2:$L$10000,12,FALSE))</f>
        <v xml:space="preserve"> </v>
      </c>
    </row>
    <row r="93" spans="1:13" x14ac:dyDescent="0.25">
      <c r="A93" s="8"/>
      <c r="B93" s="4">
        <v>92</v>
      </c>
      <c r="C93" s="4" t="str">
        <f>IF(ISBLANK(A93)," ",VLOOKUP((A93),SONUC!$A$2:$L$10000,2,FALSE))</f>
        <v xml:space="preserve"> </v>
      </c>
      <c r="D93" s="4" t="str">
        <f>IF(ISBLANK(A93)," ",VLOOKUP((A93),SONUC!$A$2:$L$10000,3,FALSE))</f>
        <v xml:space="preserve"> </v>
      </c>
      <c r="E93" s="4" t="str">
        <f>IF(ISBLANK(A93)," ",VLOOKUP((A93),SONUC!$A$2:$L$10000,4,FALSE))</f>
        <v xml:space="preserve"> </v>
      </c>
      <c r="F93" s="4" t="str">
        <f>IF(ISBLANK(A93)," ",VLOOKUP((A93),SONUC!$A$2:$L$10000,5,FALSE))</f>
        <v xml:space="preserve"> </v>
      </c>
      <c r="G93" s="4" t="str">
        <f>IF(ISBLANK(A93)," ",VLOOKUP((A93),SONUC!$A$2:$L$10000,6,FALSE))</f>
        <v xml:space="preserve"> </v>
      </c>
      <c r="H93" s="4" t="str">
        <f>IF(ISBLANK(A93)," ",VLOOKUP((A93),SONUC!$A$2:$L$10000,7,FALSE))</f>
        <v xml:space="preserve"> </v>
      </c>
      <c r="I93" s="4" t="str">
        <f>IF(ISBLANK(A93)," ",VLOOKUP((A93),SONUC!$A$2:$L$10000,8,FALSE))</f>
        <v xml:space="preserve"> </v>
      </c>
      <c r="J93" s="4" t="str">
        <f>IF(ISBLANK(A93)," ",VLOOKUP((A93),SONUC!$A$2:$L$10000,9,FALSE))</f>
        <v xml:space="preserve"> </v>
      </c>
      <c r="K93" s="4" t="str">
        <f>IF(ISBLANK(A93)," ",VLOOKUP((A93),SONUC!$A$2:$L$10000,10,FALSE))</f>
        <v xml:space="preserve"> </v>
      </c>
      <c r="L93" s="4" t="str">
        <f>IF(ISBLANK(A93)," ",VLOOKUP((A93),SONUC!$A$2:$L$10000,11,FALSE))</f>
        <v xml:space="preserve"> </v>
      </c>
      <c r="M93" s="4" t="str">
        <f>IF(ISBLANK(A93)," ",VLOOKUP((A93),SONUC!$A$2:$L$10000,12,FALSE))</f>
        <v xml:space="preserve"> </v>
      </c>
    </row>
    <row r="94" spans="1:13" x14ac:dyDescent="0.25">
      <c r="A94" s="8"/>
      <c r="B94" s="4">
        <v>93</v>
      </c>
      <c r="C94" s="4" t="str">
        <f>IF(ISBLANK(A94)," ",VLOOKUP((A94),SONUC!$A$2:$L$10000,2,FALSE))</f>
        <v xml:space="preserve"> </v>
      </c>
      <c r="D94" s="4" t="str">
        <f>IF(ISBLANK(A94)," ",VLOOKUP((A94),SONUC!$A$2:$L$10000,3,FALSE))</f>
        <v xml:space="preserve"> </v>
      </c>
      <c r="E94" s="4" t="str">
        <f>IF(ISBLANK(A94)," ",VLOOKUP((A94),SONUC!$A$2:$L$10000,4,FALSE))</f>
        <v xml:space="preserve"> </v>
      </c>
      <c r="F94" s="4" t="str">
        <f>IF(ISBLANK(A94)," ",VLOOKUP((A94),SONUC!$A$2:$L$10000,5,FALSE))</f>
        <v xml:space="preserve"> </v>
      </c>
      <c r="G94" s="4" t="str">
        <f>IF(ISBLANK(A94)," ",VLOOKUP((A94),SONUC!$A$2:$L$10000,6,FALSE))</f>
        <v xml:space="preserve"> </v>
      </c>
      <c r="H94" s="4" t="str">
        <f>IF(ISBLANK(A94)," ",VLOOKUP((A94),SONUC!$A$2:$L$10000,7,FALSE))</f>
        <v xml:space="preserve"> </v>
      </c>
      <c r="I94" s="4" t="str">
        <f>IF(ISBLANK(A94)," ",VLOOKUP((A94),SONUC!$A$2:$L$10000,8,FALSE))</f>
        <v xml:space="preserve"> </v>
      </c>
      <c r="J94" s="4" t="str">
        <f>IF(ISBLANK(A94)," ",VLOOKUP((A94),SONUC!$A$2:$L$10000,9,FALSE))</f>
        <v xml:space="preserve"> </v>
      </c>
      <c r="K94" s="4" t="str">
        <f>IF(ISBLANK(A94)," ",VLOOKUP((A94),SONUC!$A$2:$L$10000,10,FALSE))</f>
        <v xml:space="preserve"> </v>
      </c>
      <c r="L94" s="4" t="str">
        <f>IF(ISBLANK(A94)," ",VLOOKUP((A94),SONUC!$A$2:$L$10000,11,FALSE))</f>
        <v xml:space="preserve"> </v>
      </c>
      <c r="M94" s="4" t="str">
        <f>IF(ISBLANK(A94)," ",VLOOKUP((A94),SONUC!$A$2:$L$10000,12,FALSE))</f>
        <v xml:space="preserve"> </v>
      </c>
    </row>
    <row r="95" spans="1:13" x14ac:dyDescent="0.25">
      <c r="A95" s="8"/>
      <c r="B95" s="4">
        <v>94</v>
      </c>
      <c r="C95" s="4" t="str">
        <f>IF(ISBLANK(A95)," ",VLOOKUP((A95),SONUC!$A$2:$L$10000,2,FALSE))</f>
        <v xml:space="preserve"> </v>
      </c>
      <c r="D95" s="4" t="str">
        <f>IF(ISBLANK(A95)," ",VLOOKUP((A95),SONUC!$A$2:$L$10000,3,FALSE))</f>
        <v xml:space="preserve"> </v>
      </c>
      <c r="E95" s="4" t="str">
        <f>IF(ISBLANK(A95)," ",VLOOKUP((A95),SONUC!$A$2:$L$10000,4,FALSE))</f>
        <v xml:space="preserve"> </v>
      </c>
      <c r="F95" s="4" t="str">
        <f>IF(ISBLANK(A95)," ",VLOOKUP((A95),SONUC!$A$2:$L$10000,5,FALSE))</f>
        <v xml:space="preserve"> </v>
      </c>
      <c r="G95" s="4" t="str">
        <f>IF(ISBLANK(A95)," ",VLOOKUP((A95),SONUC!$A$2:$L$10000,6,FALSE))</f>
        <v xml:space="preserve"> </v>
      </c>
      <c r="H95" s="4" t="str">
        <f>IF(ISBLANK(A95)," ",VLOOKUP((A95),SONUC!$A$2:$L$10000,7,FALSE))</f>
        <v xml:space="preserve"> </v>
      </c>
      <c r="I95" s="4" t="str">
        <f>IF(ISBLANK(A95)," ",VLOOKUP((A95),SONUC!$A$2:$L$10000,8,FALSE))</f>
        <v xml:space="preserve"> </v>
      </c>
      <c r="J95" s="4" t="str">
        <f>IF(ISBLANK(A95)," ",VLOOKUP((A95),SONUC!$A$2:$L$10000,9,FALSE))</f>
        <v xml:space="preserve"> </v>
      </c>
      <c r="K95" s="4" t="str">
        <f>IF(ISBLANK(A95)," ",VLOOKUP((A95),SONUC!$A$2:$L$10000,10,FALSE))</f>
        <v xml:space="preserve"> </v>
      </c>
      <c r="L95" s="4" t="str">
        <f>IF(ISBLANK(A95)," ",VLOOKUP((A95),SONUC!$A$2:$L$10000,11,FALSE))</f>
        <v xml:space="preserve"> </v>
      </c>
      <c r="M95" s="4" t="str">
        <f>IF(ISBLANK(A95)," ",VLOOKUP((A95),SONUC!$A$2:$L$10000,12,FALSE))</f>
        <v xml:space="preserve"> </v>
      </c>
    </row>
    <row r="96" spans="1:13" x14ac:dyDescent="0.25">
      <c r="A96" s="8"/>
      <c r="B96" s="4">
        <v>95</v>
      </c>
      <c r="C96" s="4" t="str">
        <f>IF(ISBLANK(A96)," ",VLOOKUP((A96),SONUC!$A$2:$L$10000,2,FALSE))</f>
        <v xml:space="preserve"> </v>
      </c>
      <c r="D96" s="4" t="str">
        <f>IF(ISBLANK(A96)," ",VLOOKUP((A96),SONUC!$A$2:$L$10000,3,FALSE))</f>
        <v xml:space="preserve"> </v>
      </c>
      <c r="E96" s="4" t="str">
        <f>IF(ISBLANK(A96)," ",VLOOKUP((A96),SONUC!$A$2:$L$10000,4,FALSE))</f>
        <v xml:space="preserve"> </v>
      </c>
      <c r="F96" s="4" t="str">
        <f>IF(ISBLANK(A96)," ",VLOOKUP((A96),SONUC!$A$2:$L$10000,5,FALSE))</f>
        <v xml:space="preserve"> </v>
      </c>
      <c r="G96" s="4" t="str">
        <f>IF(ISBLANK(A96)," ",VLOOKUP((A96),SONUC!$A$2:$L$10000,6,FALSE))</f>
        <v xml:space="preserve"> </v>
      </c>
      <c r="H96" s="4" t="str">
        <f>IF(ISBLANK(A96)," ",VLOOKUP((A96),SONUC!$A$2:$L$10000,7,FALSE))</f>
        <v xml:space="preserve"> </v>
      </c>
      <c r="I96" s="4" t="str">
        <f>IF(ISBLANK(A96)," ",VLOOKUP((A96),SONUC!$A$2:$L$10000,8,FALSE))</f>
        <v xml:space="preserve"> </v>
      </c>
      <c r="J96" s="4" t="str">
        <f>IF(ISBLANK(A96)," ",VLOOKUP((A96),SONUC!$A$2:$L$10000,9,FALSE))</f>
        <v xml:space="preserve"> </v>
      </c>
      <c r="K96" s="4" t="str">
        <f>IF(ISBLANK(A96)," ",VLOOKUP((A96),SONUC!$A$2:$L$10000,10,FALSE))</f>
        <v xml:space="preserve"> </v>
      </c>
      <c r="L96" s="4" t="str">
        <f>IF(ISBLANK(A96)," ",VLOOKUP((A96),SONUC!$A$2:$L$10000,11,FALSE))</f>
        <v xml:space="preserve"> </v>
      </c>
      <c r="M96" s="4" t="str">
        <f>IF(ISBLANK(A96)," ",VLOOKUP((A96),SONUC!$A$2:$L$10000,12,FALSE))</f>
        <v xml:space="preserve"> </v>
      </c>
    </row>
    <row r="97" spans="1:13" x14ac:dyDescent="0.25">
      <c r="A97" s="8"/>
      <c r="B97" s="4">
        <v>96</v>
      </c>
      <c r="C97" s="4" t="str">
        <f>IF(ISBLANK(A97)," ",VLOOKUP((A97),SONUC!$A$2:$L$10000,2,FALSE))</f>
        <v xml:space="preserve"> </v>
      </c>
      <c r="D97" s="4" t="str">
        <f>IF(ISBLANK(A97)," ",VLOOKUP((A97),SONUC!$A$2:$L$10000,3,FALSE))</f>
        <v xml:space="preserve"> </v>
      </c>
      <c r="E97" s="4" t="str">
        <f>IF(ISBLANK(A97)," ",VLOOKUP((A97),SONUC!$A$2:$L$10000,4,FALSE))</f>
        <v xml:space="preserve"> </v>
      </c>
      <c r="F97" s="4" t="str">
        <f>IF(ISBLANK(A97)," ",VLOOKUP((A97),SONUC!$A$2:$L$10000,5,FALSE))</f>
        <v xml:space="preserve"> </v>
      </c>
      <c r="G97" s="4" t="str">
        <f>IF(ISBLANK(A97)," ",VLOOKUP((A97),SONUC!$A$2:$L$10000,6,FALSE))</f>
        <v xml:space="preserve"> </v>
      </c>
      <c r="H97" s="4" t="str">
        <f>IF(ISBLANK(A97)," ",VLOOKUP((A97),SONUC!$A$2:$L$10000,7,FALSE))</f>
        <v xml:space="preserve"> </v>
      </c>
      <c r="I97" s="4" t="str">
        <f>IF(ISBLANK(A97)," ",VLOOKUP((A97),SONUC!$A$2:$L$10000,8,FALSE))</f>
        <v xml:space="preserve"> </v>
      </c>
      <c r="J97" s="4" t="str">
        <f>IF(ISBLANK(A97)," ",VLOOKUP((A97),SONUC!$A$2:$L$10000,9,FALSE))</f>
        <v xml:space="preserve"> </v>
      </c>
      <c r="K97" s="4" t="str">
        <f>IF(ISBLANK(A97)," ",VLOOKUP((A97),SONUC!$A$2:$L$10000,10,FALSE))</f>
        <v xml:space="preserve"> </v>
      </c>
      <c r="L97" s="4" t="str">
        <f>IF(ISBLANK(A97)," ",VLOOKUP((A97),SONUC!$A$2:$L$10000,11,FALSE))</f>
        <v xml:space="preserve"> </v>
      </c>
      <c r="M97" s="4" t="str">
        <f>IF(ISBLANK(A97)," ",VLOOKUP((A97),SONUC!$A$2:$L$10000,12,FALSE))</f>
        <v xml:space="preserve"> </v>
      </c>
    </row>
    <row r="98" spans="1:13" x14ac:dyDescent="0.25">
      <c r="A98" s="8"/>
      <c r="B98" s="4">
        <v>97</v>
      </c>
      <c r="C98" s="4" t="str">
        <f>IF(ISBLANK(A98)," ",VLOOKUP((A98),SONUC!$A$2:$L$10000,2,FALSE))</f>
        <v xml:space="preserve"> </v>
      </c>
      <c r="D98" s="4" t="str">
        <f>IF(ISBLANK(A98)," ",VLOOKUP((A98),SONUC!$A$2:$L$10000,3,FALSE))</f>
        <v xml:space="preserve"> </v>
      </c>
      <c r="E98" s="4" t="str">
        <f>IF(ISBLANK(A98)," ",VLOOKUP((A98),SONUC!$A$2:$L$10000,4,FALSE))</f>
        <v xml:space="preserve"> </v>
      </c>
      <c r="F98" s="4" t="str">
        <f>IF(ISBLANK(A98)," ",VLOOKUP((A98),SONUC!$A$2:$L$10000,5,FALSE))</f>
        <v xml:space="preserve"> </v>
      </c>
      <c r="G98" s="4" t="str">
        <f>IF(ISBLANK(A98)," ",VLOOKUP((A98),SONUC!$A$2:$L$10000,6,FALSE))</f>
        <v xml:space="preserve"> </v>
      </c>
      <c r="H98" s="4" t="str">
        <f>IF(ISBLANK(A98)," ",VLOOKUP((A98),SONUC!$A$2:$L$10000,7,FALSE))</f>
        <v xml:space="preserve"> </v>
      </c>
      <c r="I98" s="4" t="str">
        <f>IF(ISBLANK(A98)," ",VLOOKUP((A98),SONUC!$A$2:$L$10000,8,FALSE))</f>
        <v xml:space="preserve"> </v>
      </c>
      <c r="J98" s="4" t="str">
        <f>IF(ISBLANK(A98)," ",VLOOKUP((A98),SONUC!$A$2:$L$10000,9,FALSE))</f>
        <v xml:space="preserve"> </v>
      </c>
      <c r="K98" s="4" t="str">
        <f>IF(ISBLANK(A98)," ",VLOOKUP((A98),SONUC!$A$2:$L$10000,10,FALSE))</f>
        <v xml:space="preserve"> </v>
      </c>
      <c r="L98" s="4" t="str">
        <f>IF(ISBLANK(A98)," ",VLOOKUP((A98),SONUC!$A$2:$L$10000,11,FALSE))</f>
        <v xml:space="preserve"> </v>
      </c>
      <c r="M98" s="4" t="str">
        <f>IF(ISBLANK(A98)," ",VLOOKUP((A98),SONUC!$A$2:$L$10000,12,FALSE))</f>
        <v xml:space="preserve"> </v>
      </c>
    </row>
    <row r="99" spans="1:13" x14ac:dyDescent="0.25">
      <c r="A99" s="8"/>
      <c r="B99" s="4">
        <v>98</v>
      </c>
      <c r="C99" s="4" t="str">
        <f>IF(ISBLANK(A99)," ",VLOOKUP((A99),SONUC!$A$2:$L$10000,2,FALSE))</f>
        <v xml:space="preserve"> </v>
      </c>
      <c r="D99" s="4" t="str">
        <f>IF(ISBLANK(A99)," ",VLOOKUP((A99),SONUC!$A$2:$L$10000,3,FALSE))</f>
        <v xml:space="preserve"> </v>
      </c>
      <c r="E99" s="4" t="str">
        <f>IF(ISBLANK(A99)," ",VLOOKUP((A99),SONUC!$A$2:$L$10000,4,FALSE))</f>
        <v xml:space="preserve"> </v>
      </c>
      <c r="F99" s="4" t="str">
        <f>IF(ISBLANK(A99)," ",VLOOKUP((A99),SONUC!$A$2:$L$10000,5,FALSE))</f>
        <v xml:space="preserve"> </v>
      </c>
      <c r="G99" s="4" t="str">
        <f>IF(ISBLANK(A99)," ",VLOOKUP((A99),SONUC!$A$2:$L$10000,6,FALSE))</f>
        <v xml:space="preserve"> </v>
      </c>
      <c r="H99" s="4" t="str">
        <f>IF(ISBLANK(A99)," ",VLOOKUP((A99),SONUC!$A$2:$L$10000,7,FALSE))</f>
        <v xml:space="preserve"> </v>
      </c>
      <c r="I99" s="4" t="str">
        <f>IF(ISBLANK(A99)," ",VLOOKUP((A99),SONUC!$A$2:$L$10000,8,FALSE))</f>
        <v xml:space="preserve"> </v>
      </c>
      <c r="J99" s="4" t="str">
        <f>IF(ISBLANK(A99)," ",VLOOKUP((A99),SONUC!$A$2:$L$10000,9,FALSE))</f>
        <v xml:space="preserve"> </v>
      </c>
      <c r="K99" s="4" t="str">
        <f>IF(ISBLANK(A99)," ",VLOOKUP((A99),SONUC!$A$2:$L$10000,10,FALSE))</f>
        <v xml:space="preserve"> </v>
      </c>
      <c r="L99" s="4" t="str">
        <f>IF(ISBLANK(A99)," ",VLOOKUP((A99),SONUC!$A$2:$L$10000,11,FALSE))</f>
        <v xml:space="preserve"> </v>
      </c>
      <c r="M99" s="4" t="str">
        <f>IF(ISBLANK(A99)," ",VLOOKUP((A99),SONUC!$A$2:$L$10000,12,FALSE))</f>
        <v xml:space="preserve"> </v>
      </c>
    </row>
    <row r="100" spans="1:13" x14ac:dyDescent="0.25">
      <c r="A100" s="8"/>
      <c r="B100" s="4">
        <v>99</v>
      </c>
      <c r="C100" s="4" t="str">
        <f>IF(ISBLANK(A100)," ",VLOOKUP((A100),SONUC!$A$2:$L$10000,2,FALSE))</f>
        <v xml:space="preserve"> </v>
      </c>
      <c r="D100" s="4" t="str">
        <f>IF(ISBLANK(A100)," ",VLOOKUP((A100),SONUC!$A$2:$L$10000,3,FALSE))</f>
        <v xml:space="preserve"> </v>
      </c>
      <c r="E100" s="4" t="str">
        <f>IF(ISBLANK(A100)," ",VLOOKUP((A100),SONUC!$A$2:$L$10000,4,FALSE))</f>
        <v xml:space="preserve"> </v>
      </c>
      <c r="F100" s="4" t="str">
        <f>IF(ISBLANK(A100)," ",VLOOKUP((A100),SONUC!$A$2:$L$10000,5,FALSE))</f>
        <v xml:space="preserve"> </v>
      </c>
      <c r="G100" s="4" t="str">
        <f>IF(ISBLANK(A100)," ",VLOOKUP((A100),SONUC!$A$2:$L$10000,6,FALSE))</f>
        <v xml:space="preserve"> </v>
      </c>
      <c r="H100" s="4" t="str">
        <f>IF(ISBLANK(A100)," ",VLOOKUP((A100),SONUC!$A$2:$L$10000,7,FALSE))</f>
        <v xml:space="preserve"> </v>
      </c>
      <c r="I100" s="4" t="str">
        <f>IF(ISBLANK(A100)," ",VLOOKUP((A100),SONUC!$A$2:$L$10000,8,FALSE))</f>
        <v xml:space="preserve"> </v>
      </c>
      <c r="J100" s="4" t="str">
        <f>IF(ISBLANK(A100)," ",VLOOKUP((A100),SONUC!$A$2:$L$10000,9,FALSE))</f>
        <v xml:space="preserve"> </v>
      </c>
      <c r="K100" s="4" t="str">
        <f>IF(ISBLANK(A100)," ",VLOOKUP((A100),SONUC!$A$2:$L$10000,10,FALSE))</f>
        <v xml:space="preserve"> </v>
      </c>
      <c r="L100" s="4" t="str">
        <f>IF(ISBLANK(A100)," ",VLOOKUP((A100),SONUC!$A$2:$L$10000,11,FALSE))</f>
        <v xml:space="preserve"> </v>
      </c>
      <c r="M100" s="4" t="str">
        <f>IF(ISBLANK(A100)," ",VLOOKUP((A100),SONUC!$A$2:$L$10000,12,FALSE))</f>
        <v xml:space="preserve"> </v>
      </c>
    </row>
    <row r="101" spans="1:13" x14ac:dyDescent="0.25">
      <c r="A101" s="8"/>
      <c r="B101" s="4">
        <v>100</v>
      </c>
      <c r="C101" s="4" t="str">
        <f>IF(ISBLANK(A101)," ",VLOOKUP((A101),SONUC!$A$2:$L$10000,2,FALSE))</f>
        <v xml:space="preserve"> </v>
      </c>
      <c r="D101" s="4" t="str">
        <f>IF(ISBLANK(A101)," ",VLOOKUP((A101),SONUC!$A$2:$L$10000,3,FALSE))</f>
        <v xml:space="preserve"> </v>
      </c>
      <c r="E101" s="4" t="str">
        <f>IF(ISBLANK(A101)," ",VLOOKUP((A101),SONUC!$A$2:$L$10000,4,FALSE))</f>
        <v xml:space="preserve"> </v>
      </c>
      <c r="F101" s="4" t="str">
        <f>IF(ISBLANK(A101)," ",VLOOKUP((A101),SONUC!$A$2:$L$10000,5,FALSE))</f>
        <v xml:space="preserve"> </v>
      </c>
      <c r="G101" s="4" t="str">
        <f>IF(ISBLANK(A101)," ",VLOOKUP((A101),SONUC!$A$2:$L$10000,6,FALSE))</f>
        <v xml:space="preserve"> </v>
      </c>
      <c r="H101" s="4" t="str">
        <f>IF(ISBLANK(A101)," ",VLOOKUP((A101),SONUC!$A$2:$L$10000,7,FALSE))</f>
        <v xml:space="preserve"> </v>
      </c>
      <c r="I101" s="4" t="str">
        <f>IF(ISBLANK(A101)," ",VLOOKUP((A101),SONUC!$A$2:$L$10000,8,FALSE))</f>
        <v xml:space="preserve"> </v>
      </c>
      <c r="J101" s="4" t="str">
        <f>IF(ISBLANK(A101)," ",VLOOKUP((A101),SONUC!$A$2:$L$10000,9,FALSE))</f>
        <v xml:space="preserve"> </v>
      </c>
      <c r="K101" s="4" t="str">
        <f>IF(ISBLANK(A101)," ",VLOOKUP((A101),SONUC!$A$2:$L$10000,10,FALSE))</f>
        <v xml:space="preserve"> </v>
      </c>
      <c r="L101" s="4" t="str">
        <f>IF(ISBLANK(A101)," ",VLOOKUP((A101),SONUC!$A$2:$L$10000,11,FALSE))</f>
        <v xml:space="preserve"> </v>
      </c>
      <c r="M101" s="4" t="str">
        <f>IF(ISBLANK(A101)," ",VLOOKUP((A101),SONUC!$A$2:$L$10000,12,FALSE))</f>
        <v xml:space="preserve"> </v>
      </c>
    </row>
    <row r="102" spans="1:13" x14ac:dyDescent="0.25">
      <c r="A102" s="8"/>
      <c r="B102" s="4">
        <v>101</v>
      </c>
      <c r="C102" s="4" t="str">
        <f>IF(ISBLANK(A102)," ",VLOOKUP((A102),SONUC!$A$2:$L$10000,2,FALSE))</f>
        <v xml:space="preserve"> </v>
      </c>
      <c r="D102" s="4" t="str">
        <f>IF(ISBLANK(A102)," ",VLOOKUP((A102),SONUC!$A$2:$L$10000,3,FALSE))</f>
        <v xml:space="preserve"> </v>
      </c>
      <c r="E102" s="4" t="str">
        <f>IF(ISBLANK(A102)," ",VLOOKUP((A102),SONUC!$A$2:$L$10000,4,FALSE))</f>
        <v xml:space="preserve"> </v>
      </c>
      <c r="F102" s="4" t="str">
        <f>IF(ISBLANK(A102)," ",VLOOKUP((A102),SONUC!$A$2:$L$10000,5,FALSE))</f>
        <v xml:space="preserve"> </v>
      </c>
      <c r="G102" s="4" t="str">
        <f>IF(ISBLANK(A102)," ",VLOOKUP((A102),SONUC!$A$2:$L$10000,6,FALSE))</f>
        <v xml:space="preserve"> </v>
      </c>
      <c r="H102" s="4" t="str">
        <f>IF(ISBLANK(A102)," ",VLOOKUP((A102),SONUC!$A$2:$L$10000,7,FALSE))</f>
        <v xml:space="preserve"> </v>
      </c>
      <c r="I102" s="4" t="str">
        <f>IF(ISBLANK(A102)," ",VLOOKUP((A102),SONUC!$A$2:$L$10000,8,FALSE))</f>
        <v xml:space="preserve"> </v>
      </c>
      <c r="J102" s="4" t="str">
        <f>IF(ISBLANK(A102)," ",VLOOKUP((A102),SONUC!$A$2:$L$10000,9,FALSE))</f>
        <v xml:space="preserve"> </v>
      </c>
      <c r="K102" s="4" t="str">
        <f>IF(ISBLANK(A102)," ",VLOOKUP((A102),SONUC!$A$2:$L$10000,10,FALSE))</f>
        <v xml:space="preserve"> </v>
      </c>
      <c r="L102" s="4" t="str">
        <f>IF(ISBLANK(A102)," ",VLOOKUP((A102),SONUC!$A$2:$L$10000,11,FALSE))</f>
        <v xml:space="preserve"> </v>
      </c>
      <c r="M102" s="4" t="str">
        <f>IF(ISBLANK(A102)," ",VLOOKUP((A102),SONUC!$A$2:$L$10000,12,FALSE))</f>
        <v xml:space="preserve"> </v>
      </c>
    </row>
    <row r="103" spans="1:13" x14ac:dyDescent="0.25">
      <c r="A103" s="8"/>
      <c r="B103" s="4">
        <v>102</v>
      </c>
      <c r="C103" s="4" t="str">
        <f>IF(ISBLANK(A103)," ",VLOOKUP((A103),SONUC!$A$2:$L$10000,2,FALSE))</f>
        <v xml:space="preserve"> </v>
      </c>
      <c r="D103" s="4" t="str">
        <f>IF(ISBLANK(A103)," ",VLOOKUP((A103),SONUC!$A$2:$L$10000,3,FALSE))</f>
        <v xml:space="preserve"> </v>
      </c>
      <c r="E103" s="4" t="str">
        <f>IF(ISBLANK(A103)," ",VLOOKUP((A103),SONUC!$A$2:$L$10000,4,FALSE))</f>
        <v xml:space="preserve"> </v>
      </c>
      <c r="F103" s="4" t="str">
        <f>IF(ISBLANK(A103)," ",VLOOKUP((A103),SONUC!$A$2:$L$10000,5,FALSE))</f>
        <v xml:space="preserve"> </v>
      </c>
      <c r="G103" s="4" t="str">
        <f>IF(ISBLANK(A103)," ",VLOOKUP((A103),SONUC!$A$2:$L$10000,6,FALSE))</f>
        <v xml:space="preserve"> </v>
      </c>
      <c r="H103" s="4" t="str">
        <f>IF(ISBLANK(A103)," ",VLOOKUP((A103),SONUC!$A$2:$L$10000,7,FALSE))</f>
        <v xml:space="preserve"> </v>
      </c>
      <c r="I103" s="4" t="str">
        <f>IF(ISBLANK(A103)," ",VLOOKUP((A103),SONUC!$A$2:$L$10000,8,FALSE))</f>
        <v xml:space="preserve"> </v>
      </c>
      <c r="J103" s="4" t="str">
        <f>IF(ISBLANK(A103)," ",VLOOKUP((A103),SONUC!$A$2:$L$10000,9,FALSE))</f>
        <v xml:space="preserve"> </v>
      </c>
      <c r="K103" s="4" t="str">
        <f>IF(ISBLANK(A103)," ",VLOOKUP((A103),SONUC!$A$2:$L$10000,10,FALSE))</f>
        <v xml:space="preserve"> </v>
      </c>
      <c r="L103" s="4" t="str">
        <f>IF(ISBLANK(A103)," ",VLOOKUP((A103),SONUC!$A$2:$L$10000,11,FALSE))</f>
        <v xml:space="preserve"> </v>
      </c>
      <c r="M103" s="4" t="str">
        <f>IF(ISBLANK(A103)," ",VLOOKUP((A103),SONUC!$A$2:$L$10000,12,FALSE))</f>
        <v xml:space="preserve"> </v>
      </c>
    </row>
    <row r="104" spans="1:13" x14ac:dyDescent="0.25">
      <c r="A104" s="8"/>
      <c r="B104" s="4">
        <v>103</v>
      </c>
      <c r="C104" s="4" t="str">
        <f>IF(ISBLANK(A104)," ",VLOOKUP((A104),SONUC!$A$2:$L$10000,2,FALSE))</f>
        <v xml:space="preserve"> </v>
      </c>
      <c r="D104" s="4" t="str">
        <f>IF(ISBLANK(A104)," ",VLOOKUP((A104),SONUC!$A$2:$L$10000,3,FALSE))</f>
        <v xml:space="preserve"> </v>
      </c>
      <c r="E104" s="4" t="str">
        <f>IF(ISBLANK(A104)," ",VLOOKUP((A104),SONUC!$A$2:$L$10000,4,FALSE))</f>
        <v xml:space="preserve"> </v>
      </c>
      <c r="F104" s="4" t="str">
        <f>IF(ISBLANK(A104)," ",VLOOKUP((A104),SONUC!$A$2:$L$10000,5,FALSE))</f>
        <v xml:space="preserve"> </v>
      </c>
      <c r="G104" s="4" t="str">
        <f>IF(ISBLANK(A104)," ",VLOOKUP((A104),SONUC!$A$2:$L$10000,6,FALSE))</f>
        <v xml:space="preserve"> </v>
      </c>
      <c r="H104" s="4" t="str">
        <f>IF(ISBLANK(A104)," ",VLOOKUP((A104),SONUC!$A$2:$L$10000,7,FALSE))</f>
        <v xml:space="preserve"> </v>
      </c>
      <c r="I104" s="4" t="str">
        <f>IF(ISBLANK(A104)," ",VLOOKUP((A104),SONUC!$A$2:$L$10000,8,FALSE))</f>
        <v xml:space="preserve"> </v>
      </c>
      <c r="J104" s="4" t="str">
        <f>IF(ISBLANK(A104)," ",VLOOKUP((A104),SONUC!$A$2:$L$10000,9,FALSE))</f>
        <v xml:space="preserve"> </v>
      </c>
      <c r="K104" s="4" t="str">
        <f>IF(ISBLANK(A104)," ",VLOOKUP((A104),SONUC!$A$2:$L$10000,10,FALSE))</f>
        <v xml:space="preserve"> </v>
      </c>
      <c r="L104" s="4" t="str">
        <f>IF(ISBLANK(A104)," ",VLOOKUP((A104),SONUC!$A$2:$L$10000,11,FALSE))</f>
        <v xml:space="preserve"> </v>
      </c>
      <c r="M104" s="4" t="str">
        <f>IF(ISBLANK(A104)," ",VLOOKUP((A104),SONUC!$A$2:$L$10000,12,FALSE))</f>
        <v xml:space="preserve"> </v>
      </c>
    </row>
    <row r="105" spans="1:13" x14ac:dyDescent="0.25">
      <c r="A105" s="8"/>
      <c r="B105" s="4">
        <v>104</v>
      </c>
      <c r="C105" s="4" t="str">
        <f>IF(ISBLANK(A105)," ",VLOOKUP((A105),SONUC!$A$2:$L$10000,2,FALSE))</f>
        <v xml:space="preserve"> </v>
      </c>
      <c r="D105" s="4" t="str">
        <f>IF(ISBLANK(A105)," ",VLOOKUP((A105),SONUC!$A$2:$L$10000,3,FALSE))</f>
        <v xml:space="preserve"> </v>
      </c>
      <c r="E105" s="4" t="str">
        <f>IF(ISBLANK(A105)," ",VLOOKUP((A105),SONUC!$A$2:$L$10000,4,FALSE))</f>
        <v xml:space="preserve"> </v>
      </c>
      <c r="F105" s="4" t="str">
        <f>IF(ISBLANK(A105)," ",VLOOKUP((A105),SONUC!$A$2:$L$10000,5,FALSE))</f>
        <v xml:space="preserve"> </v>
      </c>
      <c r="G105" s="4" t="str">
        <f>IF(ISBLANK(A105)," ",VLOOKUP((A105),SONUC!$A$2:$L$10000,6,FALSE))</f>
        <v xml:space="preserve"> </v>
      </c>
      <c r="H105" s="4" t="str">
        <f>IF(ISBLANK(A105)," ",VLOOKUP((A105),SONUC!$A$2:$L$10000,7,FALSE))</f>
        <v xml:space="preserve"> </v>
      </c>
      <c r="I105" s="4" t="str">
        <f>IF(ISBLANK(A105)," ",VLOOKUP((A105),SONUC!$A$2:$L$10000,8,FALSE))</f>
        <v xml:space="preserve"> </v>
      </c>
      <c r="J105" s="4" t="str">
        <f>IF(ISBLANK(A105)," ",VLOOKUP((A105),SONUC!$A$2:$L$10000,9,FALSE))</f>
        <v xml:space="preserve"> </v>
      </c>
      <c r="K105" s="4" t="str">
        <f>IF(ISBLANK(A105)," ",VLOOKUP((A105),SONUC!$A$2:$L$10000,10,FALSE))</f>
        <v xml:space="preserve"> </v>
      </c>
      <c r="L105" s="4" t="str">
        <f>IF(ISBLANK(A105)," ",VLOOKUP((A105),SONUC!$A$2:$L$10000,11,FALSE))</f>
        <v xml:space="preserve"> </v>
      </c>
      <c r="M105" s="4" t="str">
        <f>IF(ISBLANK(A105)," ",VLOOKUP((A105),SONUC!$A$2:$L$10000,12,FALSE))</f>
        <v xml:space="preserve"> </v>
      </c>
    </row>
    <row r="106" spans="1:13" x14ac:dyDescent="0.25">
      <c r="B106" s="4">
        <v>105</v>
      </c>
      <c r="C106" s="4" t="str">
        <f>IF(ISBLANK(A106)," ",VLOOKUP((A106),SONUC!$A$2:$L$10000,2,FALSE))</f>
        <v xml:space="preserve"> </v>
      </c>
      <c r="D106" s="4" t="str">
        <f>IF(ISBLANK(A106)," ",VLOOKUP((A106),SONUC!$A$2:$L$10000,3,FALSE))</f>
        <v xml:space="preserve"> </v>
      </c>
      <c r="E106" s="4" t="str">
        <f>IF(ISBLANK(A106)," ",VLOOKUP((A106),SONUC!$A$2:$L$10000,4,FALSE))</f>
        <v xml:space="preserve"> </v>
      </c>
      <c r="F106" s="4" t="str">
        <f>IF(ISBLANK(A106)," ",VLOOKUP((A106),SONUC!$A$2:$L$10000,5,FALSE))</f>
        <v xml:space="preserve"> </v>
      </c>
      <c r="G106" s="4" t="str">
        <f>IF(ISBLANK(A106)," ",VLOOKUP((A106),SONUC!$A$2:$L$10000,6,FALSE))</f>
        <v xml:space="preserve"> </v>
      </c>
      <c r="H106" s="4" t="str">
        <f>IF(ISBLANK(A106)," ",VLOOKUP((A106),SONUC!$A$2:$L$10000,7,FALSE))</f>
        <v xml:space="preserve"> </v>
      </c>
      <c r="I106" s="4" t="str">
        <f>IF(ISBLANK(A106)," ",VLOOKUP((A106),SONUC!$A$2:$L$10000,8,FALSE))</f>
        <v xml:space="preserve"> </v>
      </c>
      <c r="J106" s="4" t="str">
        <f>IF(ISBLANK(A106)," ",VLOOKUP((A106),SONUC!$A$2:$L$10000,9,FALSE))</f>
        <v xml:space="preserve"> </v>
      </c>
      <c r="K106" s="4" t="str">
        <f>IF(ISBLANK(A106)," ",VLOOKUP((A106),SONUC!$A$2:$L$10000,10,FALSE))</f>
        <v xml:space="preserve"> </v>
      </c>
      <c r="L106" s="4" t="str">
        <f>IF(ISBLANK(A106)," ",VLOOKUP((A106),SONUC!$A$2:$L$10000,11,FALSE))</f>
        <v xml:space="preserve"> </v>
      </c>
      <c r="M106" s="4" t="str">
        <f>IF(ISBLANK(A106)," ",VLOOKUP((A106),SONUC!$A$2:$L$10000,12,FALSE))</f>
        <v xml:space="preserve"> </v>
      </c>
    </row>
    <row r="107" spans="1:13" x14ac:dyDescent="0.25">
      <c r="B107" s="4">
        <v>106</v>
      </c>
      <c r="C107" s="4" t="str">
        <f>IF(ISBLANK(A107)," ",VLOOKUP((A107),SONUC!$A$2:$L$10000,2,FALSE))</f>
        <v xml:space="preserve"> </v>
      </c>
      <c r="D107" s="4" t="str">
        <f>IF(ISBLANK(A107)," ",VLOOKUP((A107),SONUC!$A$2:$L$10000,3,FALSE))</f>
        <v xml:space="preserve"> </v>
      </c>
      <c r="E107" s="4" t="str">
        <f>IF(ISBLANK(A107)," ",VLOOKUP((A107),SONUC!$A$2:$L$10000,4,FALSE))</f>
        <v xml:space="preserve"> </v>
      </c>
      <c r="F107" s="4" t="str">
        <f>IF(ISBLANK(A107)," ",VLOOKUP((A107),SONUC!$A$2:$L$10000,5,FALSE))</f>
        <v xml:space="preserve"> </v>
      </c>
      <c r="G107" s="4" t="str">
        <f>IF(ISBLANK(A107)," ",VLOOKUP((A107),SONUC!$A$2:$L$10000,6,FALSE))</f>
        <v xml:space="preserve"> </v>
      </c>
      <c r="H107" s="4" t="str">
        <f>IF(ISBLANK(A107)," ",VLOOKUP((A107),SONUC!$A$2:$L$10000,7,FALSE))</f>
        <v xml:space="preserve"> </v>
      </c>
      <c r="I107" s="4" t="str">
        <f>IF(ISBLANK(A107)," ",VLOOKUP((A107),SONUC!$A$2:$L$10000,8,FALSE))</f>
        <v xml:space="preserve"> </v>
      </c>
      <c r="J107" s="4" t="str">
        <f>IF(ISBLANK(A107)," ",VLOOKUP((A107),SONUC!$A$2:$L$10000,9,FALSE))</f>
        <v xml:space="preserve"> </v>
      </c>
      <c r="K107" s="4" t="str">
        <f>IF(ISBLANK(A107)," ",VLOOKUP((A107),SONUC!$A$2:$L$10000,10,FALSE))</f>
        <v xml:space="preserve"> </v>
      </c>
      <c r="L107" s="4" t="str">
        <f>IF(ISBLANK(A107)," ",VLOOKUP((A107),SONUC!$A$2:$L$10000,11,FALSE))</f>
        <v xml:space="preserve"> </v>
      </c>
      <c r="M107" s="4" t="str">
        <f>IF(ISBLANK(A107)," ",VLOOKUP((A107),SONUC!$A$2:$L$10000,12,FALSE))</f>
        <v xml:space="preserve"> </v>
      </c>
    </row>
    <row r="108" spans="1:13" x14ac:dyDescent="0.25">
      <c r="B108" s="4">
        <v>107</v>
      </c>
      <c r="C108" s="4" t="str">
        <f>IF(ISBLANK(A108)," ",VLOOKUP((A108),SONUC!$A$2:$L$10000,2,FALSE))</f>
        <v xml:space="preserve"> </v>
      </c>
      <c r="D108" s="4" t="str">
        <f>IF(ISBLANK(A108)," ",VLOOKUP((A108),SONUC!$A$2:$L$10000,3,FALSE))</f>
        <v xml:space="preserve"> </v>
      </c>
      <c r="E108" s="4" t="str">
        <f>IF(ISBLANK(A108)," ",VLOOKUP((A108),SONUC!$A$2:$L$10000,4,FALSE))</f>
        <v xml:space="preserve"> </v>
      </c>
      <c r="F108" s="4" t="str">
        <f>IF(ISBLANK(A108)," ",VLOOKUP((A108),SONUC!$A$2:$L$10000,5,FALSE))</f>
        <v xml:space="preserve"> </v>
      </c>
      <c r="G108" s="4" t="str">
        <f>IF(ISBLANK(A108)," ",VLOOKUP((A108),SONUC!$A$2:$L$10000,6,FALSE))</f>
        <v xml:space="preserve"> </v>
      </c>
      <c r="H108" s="4" t="str">
        <f>IF(ISBLANK(A108)," ",VLOOKUP((A108),SONUC!$A$2:$L$10000,7,FALSE))</f>
        <v xml:space="preserve"> </v>
      </c>
      <c r="I108" s="4" t="str">
        <f>IF(ISBLANK(A108)," ",VLOOKUP((A108),SONUC!$A$2:$L$10000,8,FALSE))</f>
        <v xml:space="preserve"> </v>
      </c>
      <c r="J108" s="4" t="str">
        <f>IF(ISBLANK(A108)," ",VLOOKUP((A108),SONUC!$A$2:$L$10000,9,FALSE))</f>
        <v xml:space="preserve"> </v>
      </c>
      <c r="K108" s="4" t="str">
        <f>IF(ISBLANK(A108)," ",VLOOKUP((A108),SONUC!$A$2:$L$10000,10,FALSE))</f>
        <v xml:space="preserve"> </v>
      </c>
      <c r="L108" s="4" t="str">
        <f>IF(ISBLANK(A108)," ",VLOOKUP((A108),SONUC!$A$2:$L$10000,11,FALSE))</f>
        <v xml:space="preserve"> </v>
      </c>
      <c r="M108" s="4" t="str">
        <f>IF(ISBLANK(A108)," ",VLOOKUP((A108),SONUC!$A$2:$L$10000,12,FALSE))</f>
        <v xml:space="preserve"> </v>
      </c>
    </row>
    <row r="109" spans="1:13" x14ac:dyDescent="0.25">
      <c r="B109" s="4">
        <v>108</v>
      </c>
      <c r="C109" s="4" t="str">
        <f>IF(ISBLANK(A109)," ",VLOOKUP((A109),SONUC!$A$2:$L$10000,2,FALSE))</f>
        <v xml:space="preserve"> </v>
      </c>
      <c r="D109" s="4" t="str">
        <f>IF(ISBLANK(A109)," ",VLOOKUP((A109),SONUC!$A$2:$L$10000,3,FALSE))</f>
        <v xml:space="preserve"> </v>
      </c>
      <c r="E109" s="4" t="str">
        <f>IF(ISBLANK(A109)," ",VLOOKUP((A109),SONUC!$A$2:$L$10000,4,FALSE))</f>
        <v xml:space="preserve"> </v>
      </c>
      <c r="F109" s="4" t="str">
        <f>IF(ISBLANK(A109)," ",VLOOKUP((A109),SONUC!$A$2:$L$10000,5,FALSE))</f>
        <v xml:space="preserve"> </v>
      </c>
      <c r="G109" s="4" t="str">
        <f>IF(ISBLANK(A109)," ",VLOOKUP((A109),SONUC!$A$2:$L$10000,6,FALSE))</f>
        <v xml:space="preserve"> </v>
      </c>
      <c r="H109" s="4" t="str">
        <f>IF(ISBLANK(A109)," ",VLOOKUP((A109),SONUC!$A$2:$L$10000,7,FALSE))</f>
        <v xml:space="preserve"> </v>
      </c>
      <c r="I109" s="4" t="str">
        <f>IF(ISBLANK(A109)," ",VLOOKUP((A109),SONUC!$A$2:$L$10000,8,FALSE))</f>
        <v xml:space="preserve"> </v>
      </c>
      <c r="J109" s="4" t="str">
        <f>IF(ISBLANK(A109)," ",VLOOKUP((A109),SONUC!$A$2:$L$10000,9,FALSE))</f>
        <v xml:space="preserve"> </v>
      </c>
      <c r="K109" s="4" t="str">
        <f>IF(ISBLANK(A109)," ",VLOOKUP((A109),SONUC!$A$2:$L$10000,10,FALSE))</f>
        <v xml:space="preserve"> </v>
      </c>
      <c r="L109" s="4" t="str">
        <f>IF(ISBLANK(A109)," ",VLOOKUP((A109),SONUC!$A$2:$L$10000,11,FALSE))</f>
        <v xml:space="preserve"> </v>
      </c>
      <c r="M109" s="4" t="str">
        <f>IF(ISBLANK(A109)," ",VLOOKUP((A109),SONUC!$A$2:$L$10000,12,FALSE))</f>
        <v xml:space="preserve"> </v>
      </c>
    </row>
    <row r="110" spans="1:13" x14ac:dyDescent="0.25">
      <c r="B110" s="4">
        <v>109</v>
      </c>
      <c r="C110" s="4" t="str">
        <f>IF(ISBLANK(A110)," ",VLOOKUP((A110),SONUC!$A$2:$L$10000,2,FALSE))</f>
        <v xml:space="preserve"> </v>
      </c>
      <c r="D110" s="4" t="str">
        <f>IF(ISBLANK(A110)," ",VLOOKUP((A110),SONUC!$A$2:$L$10000,3,FALSE))</f>
        <v xml:space="preserve"> </v>
      </c>
      <c r="E110" s="4" t="str">
        <f>IF(ISBLANK(A110)," ",VLOOKUP((A110),SONUC!$A$2:$L$10000,4,FALSE))</f>
        <v xml:space="preserve"> </v>
      </c>
      <c r="F110" s="4" t="str">
        <f>IF(ISBLANK(A110)," ",VLOOKUP((A110),SONUC!$A$2:$L$10000,5,FALSE))</f>
        <v xml:space="preserve"> </v>
      </c>
      <c r="G110" s="4" t="str">
        <f>IF(ISBLANK(A110)," ",VLOOKUP((A110),SONUC!$A$2:$L$10000,6,FALSE))</f>
        <v xml:space="preserve"> </v>
      </c>
      <c r="H110" s="4" t="str">
        <f>IF(ISBLANK(A110)," ",VLOOKUP((A110),SONUC!$A$2:$L$10000,7,FALSE))</f>
        <v xml:space="preserve"> </v>
      </c>
      <c r="I110" s="4" t="str">
        <f>IF(ISBLANK(A110)," ",VLOOKUP((A110),SONUC!$A$2:$L$10000,8,FALSE))</f>
        <v xml:space="preserve"> </v>
      </c>
      <c r="J110" s="4" t="str">
        <f>IF(ISBLANK(A110)," ",VLOOKUP((A110),SONUC!$A$2:$L$10000,9,FALSE))</f>
        <v xml:space="preserve"> </v>
      </c>
      <c r="K110" s="4" t="str">
        <f>IF(ISBLANK(A110)," ",VLOOKUP((A110),SONUC!$A$2:$L$10000,10,FALSE))</f>
        <v xml:space="preserve"> </v>
      </c>
      <c r="L110" s="4" t="str">
        <f>IF(ISBLANK(A110)," ",VLOOKUP((A110),SONUC!$A$2:$L$10000,11,FALSE))</f>
        <v xml:space="preserve"> </v>
      </c>
      <c r="M110" s="4" t="str">
        <f>IF(ISBLANK(A110)," ",VLOOKUP((A110),SONUC!$A$2:$L$10000,12,FALSE))</f>
        <v xml:space="preserve"> </v>
      </c>
    </row>
    <row r="111" spans="1:13" x14ac:dyDescent="0.25">
      <c r="B111" s="4">
        <v>110</v>
      </c>
      <c r="C111" s="4" t="str">
        <f>IF(ISBLANK(A111)," ",VLOOKUP((A111),SONUC!$A$2:$L$10000,2,FALSE))</f>
        <v xml:space="preserve"> </v>
      </c>
      <c r="D111" s="4" t="str">
        <f>IF(ISBLANK(A111)," ",VLOOKUP((A111),SONUC!$A$2:$L$10000,3,FALSE))</f>
        <v xml:space="preserve"> </v>
      </c>
      <c r="E111" s="4" t="str">
        <f>IF(ISBLANK(A111)," ",VLOOKUP((A111),SONUC!$A$2:$L$10000,4,FALSE))</f>
        <v xml:space="preserve"> </v>
      </c>
      <c r="F111" s="4" t="str">
        <f>IF(ISBLANK(A111)," ",VLOOKUP((A111),SONUC!$A$2:$L$10000,5,FALSE))</f>
        <v xml:space="preserve"> </v>
      </c>
      <c r="G111" s="4" t="str">
        <f>IF(ISBLANK(A111)," ",VLOOKUP((A111),SONUC!$A$2:$L$10000,6,FALSE))</f>
        <v xml:space="preserve"> </v>
      </c>
      <c r="H111" s="4" t="str">
        <f>IF(ISBLANK(A111)," ",VLOOKUP((A111),SONUC!$A$2:$L$10000,7,FALSE))</f>
        <v xml:space="preserve"> </v>
      </c>
      <c r="I111" s="4" t="str">
        <f>IF(ISBLANK(A111)," ",VLOOKUP((A111),SONUC!$A$2:$L$10000,8,FALSE))</f>
        <v xml:space="preserve"> </v>
      </c>
      <c r="J111" s="4" t="str">
        <f>IF(ISBLANK(A111)," ",VLOOKUP((A111),SONUC!$A$2:$L$10000,9,FALSE))</f>
        <v xml:space="preserve"> </v>
      </c>
      <c r="K111" s="4" t="str">
        <f>IF(ISBLANK(A111)," ",VLOOKUP((A111),SONUC!$A$2:$L$10000,10,FALSE))</f>
        <v xml:space="preserve"> </v>
      </c>
      <c r="L111" s="4" t="str">
        <f>IF(ISBLANK(A111)," ",VLOOKUP((A111),SONUC!$A$2:$L$10000,11,FALSE))</f>
        <v xml:space="preserve"> </v>
      </c>
      <c r="M111" s="4" t="str">
        <f>IF(ISBLANK(A111)," ",VLOOKUP((A111),SONUC!$A$2:$L$10000,12,FALSE))</f>
        <v xml:space="preserve"> </v>
      </c>
    </row>
    <row r="112" spans="1:13" x14ac:dyDescent="0.25">
      <c r="B112" s="4">
        <v>111</v>
      </c>
      <c r="C112" s="4" t="str">
        <f>IF(ISBLANK(A112)," ",VLOOKUP((A112),SONUC!$A$2:$L$10000,2,FALSE))</f>
        <v xml:space="preserve"> </v>
      </c>
      <c r="D112" s="4" t="str">
        <f>IF(ISBLANK(A112)," ",VLOOKUP((A112),SONUC!$A$2:$L$10000,3,FALSE))</f>
        <v xml:space="preserve"> </v>
      </c>
      <c r="E112" s="4" t="str">
        <f>IF(ISBLANK(A112)," ",VLOOKUP((A112),SONUC!$A$2:$L$10000,4,FALSE))</f>
        <v xml:space="preserve"> </v>
      </c>
      <c r="F112" s="4" t="str">
        <f>IF(ISBLANK(A112)," ",VLOOKUP((A112),SONUC!$A$2:$L$10000,5,FALSE))</f>
        <v xml:space="preserve"> </v>
      </c>
      <c r="G112" s="4" t="str">
        <f>IF(ISBLANK(A112)," ",VLOOKUP((A112),SONUC!$A$2:$L$10000,6,FALSE))</f>
        <v xml:space="preserve"> </v>
      </c>
      <c r="H112" s="4" t="str">
        <f>IF(ISBLANK(A112)," ",VLOOKUP((A112),SONUC!$A$2:$L$10000,7,FALSE))</f>
        <v xml:space="preserve"> </v>
      </c>
      <c r="I112" s="4" t="str">
        <f>IF(ISBLANK(A112)," ",VLOOKUP((A112),SONUC!$A$2:$L$10000,8,FALSE))</f>
        <v xml:space="preserve"> </v>
      </c>
      <c r="J112" s="4" t="str">
        <f>IF(ISBLANK(A112)," ",VLOOKUP((A112),SONUC!$A$2:$L$10000,9,FALSE))</f>
        <v xml:space="preserve"> </v>
      </c>
      <c r="K112" s="4" t="str">
        <f>IF(ISBLANK(A112)," ",VLOOKUP((A112),SONUC!$A$2:$L$10000,10,FALSE))</f>
        <v xml:space="preserve"> </v>
      </c>
      <c r="L112" s="4" t="str">
        <f>IF(ISBLANK(A112)," ",VLOOKUP((A112),SONUC!$A$2:$L$10000,11,FALSE))</f>
        <v xml:space="preserve"> </v>
      </c>
      <c r="M112" s="4" t="str">
        <f>IF(ISBLANK(A112)," ",VLOOKUP((A112),SONUC!$A$2:$L$10000,12,FALSE))</f>
        <v xml:space="preserve"> </v>
      </c>
    </row>
    <row r="113" spans="2:13" x14ac:dyDescent="0.25">
      <c r="B113" s="4">
        <v>112</v>
      </c>
      <c r="C113" s="4" t="str">
        <f>IF(ISBLANK(A113)," ",VLOOKUP((A113),SONUC!$A$2:$L$10000,2,FALSE))</f>
        <v xml:space="preserve"> </v>
      </c>
      <c r="D113" s="4" t="str">
        <f>IF(ISBLANK(A113)," ",VLOOKUP((A113),SONUC!$A$2:$L$10000,3,FALSE))</f>
        <v xml:space="preserve"> </v>
      </c>
      <c r="E113" s="4" t="str">
        <f>IF(ISBLANK(A113)," ",VLOOKUP((A113),SONUC!$A$2:$L$10000,4,FALSE))</f>
        <v xml:space="preserve"> </v>
      </c>
      <c r="F113" s="4" t="str">
        <f>IF(ISBLANK(A113)," ",VLOOKUP((A113),SONUC!$A$2:$L$10000,5,FALSE))</f>
        <v xml:space="preserve"> </v>
      </c>
      <c r="G113" s="4" t="str">
        <f>IF(ISBLANK(A113)," ",VLOOKUP((A113),SONUC!$A$2:$L$10000,6,FALSE))</f>
        <v xml:space="preserve"> </v>
      </c>
      <c r="H113" s="4" t="str">
        <f>IF(ISBLANK(A113)," ",VLOOKUP((A113),SONUC!$A$2:$L$10000,7,FALSE))</f>
        <v xml:space="preserve"> </v>
      </c>
      <c r="I113" s="4" t="str">
        <f>IF(ISBLANK(A113)," ",VLOOKUP((A113),SONUC!$A$2:$L$10000,8,FALSE))</f>
        <v xml:space="preserve"> </v>
      </c>
      <c r="J113" s="4" t="str">
        <f>IF(ISBLANK(A113)," ",VLOOKUP((A113),SONUC!$A$2:$L$10000,9,FALSE))</f>
        <v xml:space="preserve"> </v>
      </c>
      <c r="K113" s="4" t="str">
        <f>IF(ISBLANK(A113)," ",VLOOKUP((A113),SONUC!$A$2:$L$10000,10,FALSE))</f>
        <v xml:space="preserve"> </v>
      </c>
      <c r="L113" s="4" t="str">
        <f>IF(ISBLANK(A113)," ",VLOOKUP((A113),SONUC!$A$2:$L$10000,11,FALSE))</f>
        <v xml:space="preserve"> </v>
      </c>
      <c r="M113" s="4" t="str">
        <f>IF(ISBLANK(A113)," ",VLOOKUP((A113),SONUC!$A$2:$L$10000,12,FALSE))</f>
        <v xml:space="preserve"> </v>
      </c>
    </row>
    <row r="114" spans="2:13" x14ac:dyDescent="0.25">
      <c r="B114" s="4">
        <v>113</v>
      </c>
      <c r="C114" s="4" t="str">
        <f>IF(ISBLANK(A114)," ",VLOOKUP((A114),SONUC!$A$2:$L$10000,2,FALSE))</f>
        <v xml:space="preserve"> </v>
      </c>
      <c r="D114" s="4" t="str">
        <f>IF(ISBLANK(A114)," ",VLOOKUP((A114),SONUC!$A$2:$L$10000,3,FALSE))</f>
        <v xml:space="preserve"> </v>
      </c>
      <c r="E114" s="4" t="str">
        <f>IF(ISBLANK(A114)," ",VLOOKUP((A114),SONUC!$A$2:$L$10000,4,FALSE))</f>
        <v xml:space="preserve"> </v>
      </c>
      <c r="F114" s="4" t="str">
        <f>IF(ISBLANK(A114)," ",VLOOKUP((A114),SONUC!$A$2:$L$10000,5,FALSE))</f>
        <v xml:space="preserve"> </v>
      </c>
      <c r="G114" s="4" t="str">
        <f>IF(ISBLANK(A114)," ",VLOOKUP((A114),SONUC!$A$2:$L$10000,6,FALSE))</f>
        <v xml:space="preserve"> </v>
      </c>
      <c r="H114" s="4" t="str">
        <f>IF(ISBLANK(A114)," ",VLOOKUP((A114),SONUC!$A$2:$L$10000,7,FALSE))</f>
        <v xml:space="preserve"> </v>
      </c>
      <c r="I114" s="4" t="str">
        <f>IF(ISBLANK(A114)," ",VLOOKUP((A114),SONUC!$A$2:$L$10000,8,FALSE))</f>
        <v xml:space="preserve"> </v>
      </c>
      <c r="J114" s="4" t="str">
        <f>IF(ISBLANK(A114)," ",VLOOKUP((A114),SONUC!$A$2:$L$10000,9,FALSE))</f>
        <v xml:space="preserve"> </v>
      </c>
      <c r="K114" s="4" t="str">
        <f>IF(ISBLANK(A114)," ",VLOOKUP((A114),SONUC!$A$2:$L$10000,10,FALSE))</f>
        <v xml:space="preserve"> </v>
      </c>
      <c r="L114" s="4" t="str">
        <f>IF(ISBLANK(A114)," ",VLOOKUP((A114),SONUC!$A$2:$L$10000,11,FALSE))</f>
        <v xml:space="preserve"> </v>
      </c>
      <c r="M114" s="4" t="str">
        <f>IF(ISBLANK(A114)," ",VLOOKUP((A114),SONUC!$A$2:$L$10000,12,FALSE))</f>
        <v xml:space="preserve"> </v>
      </c>
    </row>
    <row r="115" spans="2:13" x14ac:dyDescent="0.25">
      <c r="B115" s="4">
        <v>114</v>
      </c>
      <c r="C115" s="4" t="str">
        <f>IF(ISBLANK(A115)," ",VLOOKUP((A115),SONUC!$A$2:$L$10000,2,FALSE))</f>
        <v xml:space="preserve"> </v>
      </c>
      <c r="D115" s="4" t="str">
        <f>IF(ISBLANK(A115)," ",VLOOKUP((A115),SONUC!$A$2:$L$10000,3,FALSE))</f>
        <v xml:space="preserve"> </v>
      </c>
      <c r="E115" s="4" t="str">
        <f>IF(ISBLANK(A115)," ",VLOOKUP((A115),SONUC!$A$2:$L$10000,4,FALSE))</f>
        <v xml:space="preserve"> </v>
      </c>
      <c r="F115" s="4" t="str">
        <f>IF(ISBLANK(A115)," ",VLOOKUP((A115),SONUC!$A$2:$L$10000,5,FALSE))</f>
        <v xml:space="preserve"> </v>
      </c>
      <c r="G115" s="4" t="str">
        <f>IF(ISBLANK(A115)," ",VLOOKUP((A115),SONUC!$A$2:$L$10000,6,FALSE))</f>
        <v xml:space="preserve"> </v>
      </c>
      <c r="H115" s="4" t="str">
        <f>IF(ISBLANK(A115)," ",VLOOKUP((A115),SONUC!$A$2:$L$10000,7,FALSE))</f>
        <v xml:space="preserve"> </v>
      </c>
      <c r="I115" s="4" t="str">
        <f>IF(ISBLANK(A115)," ",VLOOKUP((A115),SONUC!$A$2:$L$10000,8,FALSE))</f>
        <v xml:space="preserve"> </v>
      </c>
      <c r="J115" s="4" t="str">
        <f>IF(ISBLANK(A115)," ",VLOOKUP((A115),SONUC!$A$2:$L$10000,9,FALSE))</f>
        <v xml:space="preserve"> </v>
      </c>
      <c r="K115" s="4" t="str">
        <f>IF(ISBLANK(A115)," ",VLOOKUP((A115),SONUC!$A$2:$L$10000,10,FALSE))</f>
        <v xml:space="preserve"> </v>
      </c>
      <c r="L115" s="4" t="str">
        <f>IF(ISBLANK(A115)," ",VLOOKUP((A115),SONUC!$A$2:$L$10000,11,FALSE))</f>
        <v xml:space="preserve"> </v>
      </c>
      <c r="M115" s="4" t="str">
        <f>IF(ISBLANK(A115)," ",VLOOKUP((A115),SONUC!$A$2:$L$10000,12,FALSE))</f>
        <v xml:space="preserve"> </v>
      </c>
    </row>
    <row r="116" spans="2:13" x14ac:dyDescent="0.25">
      <c r="B116" s="4">
        <v>115</v>
      </c>
      <c r="C116" s="4" t="str">
        <f>IF(ISBLANK(A116)," ",VLOOKUP((A116),SONUC!$A$2:$L$10000,2,FALSE))</f>
        <v xml:space="preserve"> </v>
      </c>
      <c r="D116" s="4" t="str">
        <f>IF(ISBLANK(A116)," ",VLOOKUP((A116),SONUC!$A$2:$L$10000,3,FALSE))</f>
        <v xml:space="preserve"> </v>
      </c>
      <c r="E116" s="4" t="str">
        <f>IF(ISBLANK(A116)," ",VLOOKUP((A116),SONUC!$A$2:$L$10000,4,FALSE))</f>
        <v xml:space="preserve"> </v>
      </c>
      <c r="F116" s="4" t="str">
        <f>IF(ISBLANK(A116)," ",VLOOKUP((A116),SONUC!$A$2:$L$10000,5,FALSE))</f>
        <v xml:space="preserve"> </v>
      </c>
      <c r="G116" s="4" t="str">
        <f>IF(ISBLANK(A116)," ",VLOOKUP((A116),SONUC!$A$2:$L$10000,6,FALSE))</f>
        <v xml:space="preserve"> </v>
      </c>
      <c r="H116" s="4" t="str">
        <f>IF(ISBLANK(A116)," ",VLOOKUP((A116),SONUC!$A$2:$L$10000,7,FALSE))</f>
        <v xml:space="preserve"> </v>
      </c>
      <c r="I116" s="4" t="str">
        <f>IF(ISBLANK(A116)," ",VLOOKUP((A116),SONUC!$A$2:$L$10000,8,FALSE))</f>
        <v xml:space="preserve"> </v>
      </c>
      <c r="J116" s="4" t="str">
        <f>IF(ISBLANK(A116)," ",VLOOKUP((A116),SONUC!$A$2:$L$10000,9,FALSE))</f>
        <v xml:space="preserve"> </v>
      </c>
      <c r="K116" s="4" t="str">
        <f>IF(ISBLANK(A116)," ",VLOOKUP((A116),SONUC!$A$2:$L$10000,10,FALSE))</f>
        <v xml:space="preserve"> </v>
      </c>
      <c r="L116" s="4" t="str">
        <f>IF(ISBLANK(A116)," ",VLOOKUP((A116),SONUC!$A$2:$L$10000,11,FALSE))</f>
        <v xml:space="preserve"> </v>
      </c>
      <c r="M116" s="4" t="str">
        <f>IF(ISBLANK(A116)," ",VLOOKUP((A116),SONUC!$A$2:$L$10000,12,FALSE))</f>
        <v xml:space="preserve"> </v>
      </c>
    </row>
    <row r="117" spans="2:13" x14ac:dyDescent="0.25">
      <c r="B117" s="4">
        <v>116</v>
      </c>
      <c r="C117" s="4" t="str">
        <f>IF(ISBLANK(A117)," ",VLOOKUP((A117),SONUC!$A$2:$L$10000,2,FALSE))</f>
        <v xml:space="preserve"> </v>
      </c>
      <c r="D117" s="4" t="str">
        <f>IF(ISBLANK(A117)," ",VLOOKUP((A117),SONUC!$A$2:$L$10000,3,FALSE))</f>
        <v xml:space="preserve"> </v>
      </c>
      <c r="E117" s="4" t="str">
        <f>IF(ISBLANK(A117)," ",VLOOKUP((A117),SONUC!$A$2:$L$10000,4,FALSE))</f>
        <v xml:space="preserve"> </v>
      </c>
      <c r="F117" s="4" t="str">
        <f>IF(ISBLANK(A117)," ",VLOOKUP((A117),SONUC!$A$2:$L$10000,5,FALSE))</f>
        <v xml:space="preserve"> </v>
      </c>
      <c r="G117" s="4" t="str">
        <f>IF(ISBLANK(A117)," ",VLOOKUP((A117),SONUC!$A$2:$L$10000,6,FALSE))</f>
        <v xml:space="preserve"> </v>
      </c>
      <c r="H117" s="4" t="str">
        <f>IF(ISBLANK(A117)," ",VLOOKUP((A117),SONUC!$A$2:$L$10000,7,FALSE))</f>
        <v xml:space="preserve"> </v>
      </c>
      <c r="I117" s="4" t="str">
        <f>IF(ISBLANK(A117)," ",VLOOKUP((A117),SONUC!$A$2:$L$10000,8,FALSE))</f>
        <v xml:space="preserve"> </v>
      </c>
      <c r="J117" s="4" t="str">
        <f>IF(ISBLANK(A117)," ",VLOOKUP((A117),SONUC!$A$2:$L$10000,9,FALSE))</f>
        <v xml:space="preserve"> </v>
      </c>
      <c r="K117" s="4" t="str">
        <f>IF(ISBLANK(A117)," ",VLOOKUP((A117),SONUC!$A$2:$L$10000,10,FALSE))</f>
        <v xml:space="preserve"> </v>
      </c>
      <c r="L117" s="4" t="str">
        <f>IF(ISBLANK(A117)," ",VLOOKUP((A117),SONUC!$A$2:$L$10000,11,FALSE))</f>
        <v xml:space="preserve"> </v>
      </c>
      <c r="M117" s="4" t="str">
        <f>IF(ISBLANK(A117)," ",VLOOKUP((A117),SONUC!$A$2:$L$10000,12,FALSE))</f>
        <v xml:space="preserve"> </v>
      </c>
    </row>
    <row r="118" spans="2:13" x14ac:dyDescent="0.25">
      <c r="B118" s="4">
        <v>117</v>
      </c>
      <c r="C118" s="4" t="str">
        <f>IF(ISBLANK(A118)," ",VLOOKUP((A118),SONUC!$A$2:$L$10000,2,FALSE))</f>
        <v xml:space="preserve"> </v>
      </c>
      <c r="D118" s="4" t="str">
        <f>IF(ISBLANK(A118)," ",VLOOKUP((A118),SONUC!$A$2:$L$10000,3,FALSE))</f>
        <v xml:space="preserve"> </v>
      </c>
      <c r="E118" s="4" t="str">
        <f>IF(ISBLANK(A118)," ",VLOOKUP((A118),SONUC!$A$2:$L$10000,4,FALSE))</f>
        <v xml:space="preserve"> </v>
      </c>
      <c r="F118" s="4" t="str">
        <f>IF(ISBLANK(A118)," ",VLOOKUP((A118),SONUC!$A$2:$L$10000,5,FALSE))</f>
        <v xml:space="preserve"> </v>
      </c>
      <c r="G118" s="4" t="str">
        <f>IF(ISBLANK(A118)," ",VLOOKUP((A118),SONUC!$A$2:$L$10000,6,FALSE))</f>
        <v xml:space="preserve"> </v>
      </c>
      <c r="H118" s="4" t="str">
        <f>IF(ISBLANK(A118)," ",VLOOKUP((A118),SONUC!$A$2:$L$10000,7,FALSE))</f>
        <v xml:space="preserve"> </v>
      </c>
      <c r="I118" s="4" t="str">
        <f>IF(ISBLANK(A118)," ",VLOOKUP((A118),SONUC!$A$2:$L$10000,8,FALSE))</f>
        <v xml:space="preserve"> </v>
      </c>
      <c r="J118" s="4" t="str">
        <f>IF(ISBLANK(A118)," ",VLOOKUP((A118),SONUC!$A$2:$L$10000,9,FALSE))</f>
        <v xml:space="preserve"> </v>
      </c>
      <c r="K118" s="4" t="str">
        <f>IF(ISBLANK(A118)," ",VLOOKUP((A118),SONUC!$A$2:$L$10000,10,FALSE))</f>
        <v xml:space="preserve"> </v>
      </c>
      <c r="L118" s="4" t="str">
        <f>IF(ISBLANK(A118)," ",VLOOKUP((A118),SONUC!$A$2:$L$10000,11,FALSE))</f>
        <v xml:space="preserve"> </v>
      </c>
      <c r="M118" s="4" t="str">
        <f>IF(ISBLANK(A118)," ",VLOOKUP((A118),SONUC!$A$2:$L$10000,12,FALSE))</f>
        <v xml:space="preserve"> </v>
      </c>
    </row>
    <row r="119" spans="2:13" x14ac:dyDescent="0.25">
      <c r="B119" s="4">
        <v>118</v>
      </c>
      <c r="C119" s="4" t="str">
        <f>IF(ISBLANK(A119)," ",VLOOKUP((A119),SONUC!$A$2:$L$10000,2,FALSE))</f>
        <v xml:space="preserve"> </v>
      </c>
      <c r="D119" s="4" t="str">
        <f>IF(ISBLANK(A119)," ",VLOOKUP((A119),SONUC!$A$2:$L$10000,3,FALSE))</f>
        <v xml:space="preserve"> </v>
      </c>
      <c r="E119" s="4" t="str">
        <f>IF(ISBLANK(A119)," ",VLOOKUP((A119),SONUC!$A$2:$L$10000,4,FALSE))</f>
        <v xml:space="preserve"> </v>
      </c>
      <c r="F119" s="4" t="str">
        <f>IF(ISBLANK(A119)," ",VLOOKUP((A119),SONUC!$A$2:$L$10000,5,FALSE))</f>
        <v xml:space="preserve"> </v>
      </c>
      <c r="G119" s="4" t="str">
        <f>IF(ISBLANK(A119)," ",VLOOKUP((A119),SONUC!$A$2:$L$10000,6,FALSE))</f>
        <v xml:space="preserve"> </v>
      </c>
      <c r="H119" s="4" t="str">
        <f>IF(ISBLANK(A119)," ",VLOOKUP((A119),SONUC!$A$2:$L$10000,7,FALSE))</f>
        <v xml:space="preserve"> </v>
      </c>
      <c r="I119" s="4" t="str">
        <f>IF(ISBLANK(A119)," ",VLOOKUP((A119),SONUC!$A$2:$L$10000,8,FALSE))</f>
        <v xml:space="preserve"> </v>
      </c>
      <c r="J119" s="4" t="str">
        <f>IF(ISBLANK(A119)," ",VLOOKUP((A119),SONUC!$A$2:$L$10000,9,FALSE))</f>
        <v xml:space="preserve"> </v>
      </c>
      <c r="K119" s="4" t="str">
        <f>IF(ISBLANK(A119)," ",VLOOKUP((A119),SONUC!$A$2:$L$10000,10,FALSE))</f>
        <v xml:space="preserve"> </v>
      </c>
      <c r="L119" s="4" t="str">
        <f>IF(ISBLANK(A119)," ",VLOOKUP((A119),SONUC!$A$2:$L$10000,11,FALSE))</f>
        <v xml:space="preserve"> </v>
      </c>
      <c r="M119" s="4" t="str">
        <f>IF(ISBLANK(A119)," ",VLOOKUP((A119),SONUC!$A$2:$L$10000,12,FALSE))</f>
        <v xml:space="preserve"> </v>
      </c>
    </row>
    <row r="120" spans="2:13" x14ac:dyDescent="0.25">
      <c r="B120" s="4">
        <v>119</v>
      </c>
      <c r="C120" s="4" t="str">
        <f>IF(ISBLANK(A120)," ",VLOOKUP((A120),SONUC!$A$2:$L$10000,2,FALSE))</f>
        <v xml:space="preserve"> </v>
      </c>
      <c r="D120" s="4" t="str">
        <f>IF(ISBLANK(A120)," ",VLOOKUP((A120),SONUC!$A$2:$L$10000,3,FALSE))</f>
        <v xml:space="preserve"> </v>
      </c>
      <c r="E120" s="4" t="str">
        <f>IF(ISBLANK(A120)," ",VLOOKUP((A120),SONUC!$A$2:$L$10000,4,FALSE))</f>
        <v xml:space="preserve"> </v>
      </c>
      <c r="F120" s="4" t="str">
        <f>IF(ISBLANK(A120)," ",VLOOKUP((A120),SONUC!$A$2:$L$10000,5,FALSE))</f>
        <v xml:space="preserve"> </v>
      </c>
      <c r="G120" s="4" t="str">
        <f>IF(ISBLANK(A120)," ",VLOOKUP((A120),SONUC!$A$2:$L$10000,6,FALSE))</f>
        <v xml:space="preserve"> </v>
      </c>
      <c r="H120" s="4" t="str">
        <f>IF(ISBLANK(A120)," ",VLOOKUP((A120),SONUC!$A$2:$L$10000,7,FALSE))</f>
        <v xml:space="preserve"> </v>
      </c>
      <c r="I120" s="4" t="str">
        <f>IF(ISBLANK(A120)," ",VLOOKUP((A120),SONUC!$A$2:$L$10000,8,FALSE))</f>
        <v xml:space="preserve"> </v>
      </c>
      <c r="J120" s="4" t="str">
        <f>IF(ISBLANK(A120)," ",VLOOKUP((A120),SONUC!$A$2:$L$10000,9,FALSE))</f>
        <v xml:space="preserve"> </v>
      </c>
      <c r="K120" s="4" t="str">
        <f>IF(ISBLANK(A120)," ",VLOOKUP((A120),SONUC!$A$2:$L$10000,10,FALSE))</f>
        <v xml:space="preserve"> </v>
      </c>
      <c r="L120" s="4" t="str">
        <f>IF(ISBLANK(A120)," ",VLOOKUP((A120),SONUC!$A$2:$L$10000,11,FALSE))</f>
        <v xml:space="preserve"> </v>
      </c>
      <c r="M120" s="4" t="str">
        <f>IF(ISBLANK(A120)," ",VLOOKUP((A120),SONUC!$A$2:$L$10000,12,FALSE))</f>
        <v xml:space="preserve"> </v>
      </c>
    </row>
    <row r="121" spans="2:13" x14ac:dyDescent="0.25">
      <c r="B121" s="4">
        <v>120</v>
      </c>
      <c r="C121" s="4" t="str">
        <f>IF(ISBLANK(A121)," ",VLOOKUP((A121),SONUC!$A$2:$L$10000,2,FALSE))</f>
        <v xml:space="preserve"> </v>
      </c>
      <c r="D121" s="4" t="str">
        <f>IF(ISBLANK(A121)," ",VLOOKUP((A121),SONUC!$A$2:$L$10000,3,FALSE))</f>
        <v xml:space="preserve"> </v>
      </c>
      <c r="E121" s="4" t="str">
        <f>IF(ISBLANK(A121)," ",VLOOKUP((A121),SONUC!$A$2:$L$10000,4,FALSE))</f>
        <v xml:space="preserve"> </v>
      </c>
      <c r="F121" s="4" t="str">
        <f>IF(ISBLANK(A121)," ",VLOOKUP((A121),SONUC!$A$2:$L$10000,5,FALSE))</f>
        <v xml:space="preserve"> </v>
      </c>
      <c r="G121" s="4" t="str">
        <f>IF(ISBLANK(A121)," ",VLOOKUP((A121),SONUC!$A$2:$L$10000,6,FALSE))</f>
        <v xml:space="preserve"> </v>
      </c>
      <c r="H121" s="4" t="str">
        <f>IF(ISBLANK(A121)," ",VLOOKUP((A121),SONUC!$A$2:$L$10000,7,FALSE))</f>
        <v xml:space="preserve"> </v>
      </c>
      <c r="I121" s="4" t="str">
        <f>IF(ISBLANK(A121)," ",VLOOKUP((A121),SONUC!$A$2:$L$10000,8,FALSE))</f>
        <v xml:space="preserve"> </v>
      </c>
      <c r="J121" s="4" t="str">
        <f>IF(ISBLANK(A121)," ",VLOOKUP((A121),SONUC!$A$2:$L$10000,9,FALSE))</f>
        <v xml:space="preserve"> </v>
      </c>
      <c r="K121" s="4" t="str">
        <f>IF(ISBLANK(A121)," ",VLOOKUP((A121),SONUC!$A$2:$L$10000,10,FALSE))</f>
        <v xml:space="preserve"> </v>
      </c>
      <c r="L121" s="4" t="str">
        <f>IF(ISBLANK(A121)," ",VLOOKUP((A121),SONUC!$A$2:$L$10000,11,FALSE))</f>
        <v xml:space="preserve"> </v>
      </c>
      <c r="M121" s="4" t="str">
        <f>IF(ISBLANK(A121)," ",VLOOKUP((A121),SONUC!$A$2:$L$10000,12,FALSE))</f>
        <v xml:space="preserve"> </v>
      </c>
    </row>
    <row r="122" spans="2:13" x14ac:dyDescent="0.25">
      <c r="B122" s="4">
        <v>121</v>
      </c>
      <c r="C122" s="4" t="str">
        <f>IF(ISBLANK(A122)," ",VLOOKUP((A122),SONUC!$A$2:$L$10000,2,FALSE))</f>
        <v xml:space="preserve"> </v>
      </c>
      <c r="D122" s="4" t="str">
        <f>IF(ISBLANK(A122)," ",VLOOKUP((A122),SONUC!$A$2:$L$10000,3,FALSE))</f>
        <v xml:space="preserve"> </v>
      </c>
      <c r="E122" s="4" t="str">
        <f>IF(ISBLANK(A122)," ",VLOOKUP((A122),SONUC!$A$2:$L$10000,4,FALSE))</f>
        <v xml:space="preserve"> </v>
      </c>
      <c r="F122" s="4" t="str">
        <f>IF(ISBLANK(A122)," ",VLOOKUP((A122),SONUC!$A$2:$L$10000,5,FALSE))</f>
        <v xml:space="preserve"> </v>
      </c>
      <c r="G122" s="4" t="str">
        <f>IF(ISBLANK(A122)," ",VLOOKUP((A122),SONUC!$A$2:$L$10000,6,FALSE))</f>
        <v xml:space="preserve"> </v>
      </c>
      <c r="H122" s="4" t="str">
        <f>IF(ISBLANK(A122)," ",VLOOKUP((A122),SONUC!$A$2:$L$10000,7,FALSE))</f>
        <v xml:space="preserve"> </v>
      </c>
      <c r="I122" s="4" t="str">
        <f>IF(ISBLANK(A122)," ",VLOOKUP((A122),SONUC!$A$2:$L$10000,8,FALSE))</f>
        <v xml:space="preserve"> </v>
      </c>
      <c r="J122" s="4" t="str">
        <f>IF(ISBLANK(A122)," ",VLOOKUP((A122),SONUC!$A$2:$L$10000,9,FALSE))</f>
        <v xml:space="preserve"> </v>
      </c>
      <c r="K122" s="4" t="str">
        <f>IF(ISBLANK(A122)," ",VLOOKUP((A122),SONUC!$A$2:$L$10000,10,FALSE))</f>
        <v xml:space="preserve"> </v>
      </c>
      <c r="L122" s="4" t="str">
        <f>IF(ISBLANK(A122)," ",VLOOKUP((A122),SONUC!$A$2:$L$10000,11,FALSE))</f>
        <v xml:space="preserve"> </v>
      </c>
      <c r="M122" s="4" t="str">
        <f>IF(ISBLANK(A122)," ",VLOOKUP((A122),SONUC!$A$2:$L$10000,12,FALSE))</f>
        <v xml:space="preserve"> </v>
      </c>
    </row>
    <row r="123" spans="2:13" x14ac:dyDescent="0.25">
      <c r="B123" s="4">
        <v>122</v>
      </c>
      <c r="C123" s="4" t="str">
        <f>IF(ISBLANK(A123)," ",VLOOKUP((A123),SONUC!$A$2:$L$10000,2,FALSE))</f>
        <v xml:space="preserve"> </v>
      </c>
      <c r="D123" s="4" t="str">
        <f>IF(ISBLANK(A123)," ",VLOOKUP((A123),SONUC!$A$2:$L$10000,3,FALSE))</f>
        <v xml:space="preserve"> </v>
      </c>
      <c r="E123" s="4" t="str">
        <f>IF(ISBLANK(A123)," ",VLOOKUP((A123),SONUC!$A$2:$L$10000,4,FALSE))</f>
        <v xml:space="preserve"> </v>
      </c>
      <c r="F123" s="4" t="str">
        <f>IF(ISBLANK(A123)," ",VLOOKUP((A123),SONUC!$A$2:$L$10000,5,FALSE))</f>
        <v xml:space="preserve"> </v>
      </c>
      <c r="G123" s="4" t="str">
        <f>IF(ISBLANK(A123)," ",VLOOKUP((A123),SONUC!$A$2:$L$10000,6,FALSE))</f>
        <v xml:space="preserve"> </v>
      </c>
      <c r="H123" s="4" t="str">
        <f>IF(ISBLANK(A123)," ",VLOOKUP((A123),SONUC!$A$2:$L$10000,7,FALSE))</f>
        <v xml:space="preserve"> </v>
      </c>
      <c r="I123" s="4" t="str">
        <f>IF(ISBLANK(A123)," ",VLOOKUP((A123),SONUC!$A$2:$L$10000,8,FALSE))</f>
        <v xml:space="preserve"> </v>
      </c>
      <c r="J123" s="4" t="str">
        <f>IF(ISBLANK(A123)," ",VLOOKUP((A123),SONUC!$A$2:$L$10000,9,FALSE))</f>
        <v xml:space="preserve"> </v>
      </c>
      <c r="K123" s="4" t="str">
        <f>IF(ISBLANK(A123)," ",VLOOKUP((A123),SONUC!$A$2:$L$10000,10,FALSE))</f>
        <v xml:space="preserve"> </v>
      </c>
      <c r="L123" s="4" t="str">
        <f>IF(ISBLANK(A123)," ",VLOOKUP((A123),SONUC!$A$2:$L$10000,11,FALSE))</f>
        <v xml:space="preserve"> </v>
      </c>
      <c r="M123" s="4" t="str">
        <f>IF(ISBLANK(A123)," ",VLOOKUP((A123),SONUC!$A$2:$L$10000,12,FALSE))</f>
        <v xml:space="preserve"> </v>
      </c>
    </row>
    <row r="124" spans="2:13" x14ac:dyDescent="0.25">
      <c r="B124" s="4">
        <v>123</v>
      </c>
      <c r="C124" s="4" t="str">
        <f>IF(ISBLANK(A124)," ",VLOOKUP((A124),SONUC!$A$2:$L$10000,2,FALSE))</f>
        <v xml:space="preserve"> </v>
      </c>
      <c r="D124" s="4" t="str">
        <f>IF(ISBLANK(A124)," ",VLOOKUP((A124),SONUC!$A$2:$L$10000,3,FALSE))</f>
        <v xml:space="preserve"> </v>
      </c>
      <c r="E124" s="4" t="str">
        <f>IF(ISBLANK(A124)," ",VLOOKUP((A124),SONUC!$A$2:$L$10000,4,FALSE))</f>
        <v xml:space="preserve"> </v>
      </c>
      <c r="F124" s="4" t="str">
        <f>IF(ISBLANK(A124)," ",VLOOKUP((A124),SONUC!$A$2:$L$10000,5,FALSE))</f>
        <v xml:space="preserve"> </v>
      </c>
      <c r="G124" s="4" t="str">
        <f>IF(ISBLANK(A124)," ",VLOOKUP((A124),SONUC!$A$2:$L$10000,6,FALSE))</f>
        <v xml:space="preserve"> </v>
      </c>
      <c r="H124" s="4" t="str">
        <f>IF(ISBLANK(A124)," ",VLOOKUP((A124),SONUC!$A$2:$L$10000,7,FALSE))</f>
        <v xml:space="preserve"> </v>
      </c>
      <c r="I124" s="4" t="str">
        <f>IF(ISBLANK(A124)," ",VLOOKUP((A124),SONUC!$A$2:$L$10000,8,FALSE))</f>
        <v xml:space="preserve"> </v>
      </c>
      <c r="J124" s="4" t="str">
        <f>IF(ISBLANK(A124)," ",VLOOKUP((A124),SONUC!$A$2:$L$10000,9,FALSE))</f>
        <v xml:space="preserve"> </v>
      </c>
      <c r="K124" s="4" t="str">
        <f>IF(ISBLANK(A124)," ",VLOOKUP((A124),SONUC!$A$2:$L$10000,10,FALSE))</f>
        <v xml:space="preserve"> </v>
      </c>
      <c r="L124" s="4" t="str">
        <f>IF(ISBLANK(A124)," ",VLOOKUP((A124),SONUC!$A$2:$L$10000,11,FALSE))</f>
        <v xml:space="preserve"> </v>
      </c>
      <c r="M124" s="4" t="str">
        <f>IF(ISBLANK(A124)," ",VLOOKUP((A124),SONUC!$A$2:$L$10000,12,FALSE))</f>
        <v xml:space="preserve"> </v>
      </c>
    </row>
    <row r="125" spans="2:13" x14ac:dyDescent="0.25">
      <c r="B125" s="4">
        <v>124</v>
      </c>
      <c r="C125" s="4" t="str">
        <f>IF(ISBLANK(A125)," ",VLOOKUP((A125),SONUC!$A$2:$L$10000,2,FALSE))</f>
        <v xml:space="preserve"> </v>
      </c>
      <c r="D125" s="4" t="str">
        <f>IF(ISBLANK(A125)," ",VLOOKUP((A125),SONUC!$A$2:$L$10000,3,FALSE))</f>
        <v xml:space="preserve"> </v>
      </c>
      <c r="E125" s="4" t="str">
        <f>IF(ISBLANK(A125)," ",VLOOKUP((A125),SONUC!$A$2:$L$10000,4,FALSE))</f>
        <v xml:space="preserve"> </v>
      </c>
      <c r="F125" s="4" t="str">
        <f>IF(ISBLANK(A125)," ",VLOOKUP((A125),SONUC!$A$2:$L$10000,5,FALSE))</f>
        <v xml:space="preserve"> </v>
      </c>
      <c r="G125" s="4" t="str">
        <f>IF(ISBLANK(A125)," ",VLOOKUP((A125),SONUC!$A$2:$L$10000,6,FALSE))</f>
        <v xml:space="preserve"> </v>
      </c>
      <c r="H125" s="4" t="str">
        <f>IF(ISBLANK(A125)," ",VLOOKUP((A125),SONUC!$A$2:$L$10000,7,FALSE))</f>
        <v xml:space="preserve"> </v>
      </c>
      <c r="I125" s="4" t="str">
        <f>IF(ISBLANK(A125)," ",VLOOKUP((A125),SONUC!$A$2:$L$10000,8,FALSE))</f>
        <v xml:space="preserve"> </v>
      </c>
      <c r="J125" s="4" t="str">
        <f>IF(ISBLANK(A125)," ",VLOOKUP((A125),SONUC!$A$2:$L$10000,9,FALSE))</f>
        <v xml:space="preserve"> </v>
      </c>
      <c r="K125" s="4" t="str">
        <f>IF(ISBLANK(A125)," ",VLOOKUP((A125),SONUC!$A$2:$L$10000,10,FALSE))</f>
        <v xml:space="preserve"> </v>
      </c>
      <c r="L125" s="4" t="str">
        <f>IF(ISBLANK(A125)," ",VLOOKUP((A125),SONUC!$A$2:$L$10000,11,FALSE))</f>
        <v xml:space="preserve"> </v>
      </c>
      <c r="M125" s="4" t="str">
        <f>IF(ISBLANK(A125)," ",VLOOKUP((A125),SONUC!$A$2:$L$10000,12,FALSE))</f>
        <v xml:space="preserve"> </v>
      </c>
    </row>
    <row r="126" spans="2:13" x14ac:dyDescent="0.25">
      <c r="B126" s="4">
        <v>125</v>
      </c>
      <c r="C126" s="4" t="str">
        <f>IF(ISBLANK(A126)," ",VLOOKUP((A126),SONUC!$A$2:$L$10000,2,FALSE))</f>
        <v xml:space="preserve"> </v>
      </c>
      <c r="D126" s="4" t="str">
        <f>IF(ISBLANK(A126)," ",VLOOKUP((A126),SONUC!$A$2:$L$10000,3,FALSE))</f>
        <v xml:space="preserve"> </v>
      </c>
      <c r="E126" s="4" t="str">
        <f>IF(ISBLANK(A126)," ",VLOOKUP((A126),SONUC!$A$2:$L$10000,4,FALSE))</f>
        <v xml:space="preserve"> </v>
      </c>
      <c r="F126" s="4" t="str">
        <f>IF(ISBLANK(A126)," ",VLOOKUP((A126),SONUC!$A$2:$L$10000,5,FALSE))</f>
        <v xml:space="preserve"> </v>
      </c>
      <c r="G126" s="4" t="str">
        <f>IF(ISBLANK(A126)," ",VLOOKUP((A126),SONUC!$A$2:$L$10000,6,FALSE))</f>
        <v xml:space="preserve"> </v>
      </c>
      <c r="H126" s="4" t="str">
        <f>IF(ISBLANK(A126)," ",VLOOKUP((A126),SONUC!$A$2:$L$10000,7,FALSE))</f>
        <v xml:space="preserve"> </v>
      </c>
      <c r="I126" s="4" t="str">
        <f>IF(ISBLANK(A126)," ",VLOOKUP((A126),SONUC!$A$2:$L$10000,8,FALSE))</f>
        <v xml:space="preserve"> </v>
      </c>
      <c r="J126" s="4" t="str">
        <f>IF(ISBLANK(A126)," ",VLOOKUP((A126),SONUC!$A$2:$L$10000,9,FALSE))</f>
        <v xml:space="preserve"> </v>
      </c>
      <c r="K126" s="4" t="str">
        <f>IF(ISBLANK(A126)," ",VLOOKUP((A126),SONUC!$A$2:$L$10000,10,FALSE))</f>
        <v xml:space="preserve"> </v>
      </c>
      <c r="L126" s="4" t="str">
        <f>IF(ISBLANK(A126)," ",VLOOKUP((A126),SONUC!$A$2:$L$10000,11,FALSE))</f>
        <v xml:space="preserve"> </v>
      </c>
      <c r="M126" s="4" t="str">
        <f>IF(ISBLANK(A126)," ",VLOOKUP((A126),SONUC!$A$2:$L$10000,12,FALSE))</f>
        <v xml:space="preserve"> </v>
      </c>
    </row>
    <row r="127" spans="2:13" x14ac:dyDescent="0.25">
      <c r="B127" s="4">
        <v>126</v>
      </c>
      <c r="C127" s="4" t="str">
        <f>IF(ISBLANK(A127)," ",VLOOKUP((A127),SONUC!$A$2:$L$10000,2,FALSE))</f>
        <v xml:space="preserve"> </v>
      </c>
      <c r="D127" s="4" t="str">
        <f>IF(ISBLANK(A127)," ",VLOOKUP((A127),SONUC!$A$2:$L$10000,3,FALSE))</f>
        <v xml:space="preserve"> </v>
      </c>
      <c r="E127" s="4" t="str">
        <f>IF(ISBLANK(A127)," ",VLOOKUP((A127),SONUC!$A$2:$L$10000,4,FALSE))</f>
        <v xml:space="preserve"> </v>
      </c>
      <c r="F127" s="4" t="str">
        <f>IF(ISBLANK(A127)," ",VLOOKUP((A127),SONUC!$A$2:$L$10000,5,FALSE))</f>
        <v xml:space="preserve"> </v>
      </c>
      <c r="G127" s="4" t="str">
        <f>IF(ISBLANK(A127)," ",VLOOKUP((A127),SONUC!$A$2:$L$10000,6,FALSE))</f>
        <v xml:space="preserve"> </v>
      </c>
      <c r="H127" s="4" t="str">
        <f>IF(ISBLANK(A127)," ",VLOOKUP((A127),SONUC!$A$2:$L$10000,7,FALSE))</f>
        <v xml:space="preserve"> </v>
      </c>
      <c r="I127" s="4" t="str">
        <f>IF(ISBLANK(A127)," ",VLOOKUP((A127),SONUC!$A$2:$L$10000,8,FALSE))</f>
        <v xml:space="preserve"> </v>
      </c>
      <c r="J127" s="4" t="str">
        <f>IF(ISBLANK(A127)," ",VLOOKUP((A127),SONUC!$A$2:$L$10000,9,FALSE))</f>
        <v xml:space="preserve"> </v>
      </c>
      <c r="K127" s="4" t="str">
        <f>IF(ISBLANK(A127)," ",VLOOKUP((A127),SONUC!$A$2:$L$10000,10,FALSE))</f>
        <v xml:space="preserve"> </v>
      </c>
      <c r="L127" s="4" t="str">
        <f>IF(ISBLANK(A127)," ",VLOOKUP((A127),SONUC!$A$2:$L$10000,11,FALSE))</f>
        <v xml:space="preserve"> </v>
      </c>
      <c r="M127" s="4" t="str">
        <f>IF(ISBLANK(A127)," ",VLOOKUP((A127),SONUC!$A$2:$L$10000,12,FALSE))</f>
        <v xml:space="preserve"> </v>
      </c>
    </row>
    <row r="128" spans="2:13" x14ac:dyDescent="0.25">
      <c r="B128" s="4">
        <v>127</v>
      </c>
      <c r="C128" s="4" t="str">
        <f>IF(ISBLANK(A128)," ",VLOOKUP((A128),SONUC!$A$2:$L$10000,2,FALSE))</f>
        <v xml:space="preserve"> </v>
      </c>
      <c r="D128" s="4" t="str">
        <f>IF(ISBLANK(A128)," ",VLOOKUP((A128),SONUC!$A$2:$L$10000,3,FALSE))</f>
        <v xml:space="preserve"> </v>
      </c>
      <c r="E128" s="4" t="str">
        <f>IF(ISBLANK(A128)," ",VLOOKUP((A128),SONUC!$A$2:$L$10000,4,FALSE))</f>
        <v xml:space="preserve"> </v>
      </c>
      <c r="F128" s="4" t="str">
        <f>IF(ISBLANK(A128)," ",VLOOKUP((A128),SONUC!$A$2:$L$10000,5,FALSE))</f>
        <v xml:space="preserve"> </v>
      </c>
      <c r="G128" s="4" t="str">
        <f>IF(ISBLANK(A128)," ",VLOOKUP((A128),SONUC!$A$2:$L$10000,6,FALSE))</f>
        <v xml:space="preserve"> </v>
      </c>
      <c r="H128" s="4" t="str">
        <f>IF(ISBLANK(A128)," ",VLOOKUP((A128),SONUC!$A$2:$L$10000,7,FALSE))</f>
        <v xml:space="preserve"> </v>
      </c>
      <c r="I128" s="4" t="str">
        <f>IF(ISBLANK(A128)," ",VLOOKUP((A128),SONUC!$A$2:$L$10000,8,FALSE))</f>
        <v xml:space="preserve"> </v>
      </c>
      <c r="J128" s="4" t="str">
        <f>IF(ISBLANK(A128)," ",VLOOKUP((A128),SONUC!$A$2:$L$10000,9,FALSE))</f>
        <v xml:space="preserve"> </v>
      </c>
      <c r="K128" s="4" t="str">
        <f>IF(ISBLANK(A128)," ",VLOOKUP((A128),SONUC!$A$2:$L$10000,10,FALSE))</f>
        <v xml:space="preserve"> </v>
      </c>
      <c r="L128" s="4" t="str">
        <f>IF(ISBLANK(A128)," ",VLOOKUP((A128),SONUC!$A$2:$L$10000,11,FALSE))</f>
        <v xml:space="preserve"> </v>
      </c>
      <c r="M128" s="4" t="str">
        <f>IF(ISBLANK(A128)," ",VLOOKUP((A128),SONUC!$A$2:$L$10000,12,FALSE))</f>
        <v xml:space="preserve"> </v>
      </c>
    </row>
    <row r="129" spans="2:13" x14ac:dyDescent="0.25">
      <c r="B129" s="4">
        <v>128</v>
      </c>
      <c r="C129" s="4" t="str">
        <f>IF(ISBLANK(A129)," ",VLOOKUP((A129),SONUC!$A$2:$L$10000,2,FALSE))</f>
        <v xml:space="preserve"> </v>
      </c>
      <c r="D129" s="4" t="str">
        <f>IF(ISBLANK(A129)," ",VLOOKUP((A129),SONUC!$A$2:$L$10000,3,FALSE))</f>
        <v xml:space="preserve"> </v>
      </c>
      <c r="E129" s="4" t="str">
        <f>IF(ISBLANK(A129)," ",VLOOKUP((A129),SONUC!$A$2:$L$10000,4,FALSE))</f>
        <v xml:space="preserve"> </v>
      </c>
      <c r="F129" s="4" t="str">
        <f>IF(ISBLANK(A129)," ",VLOOKUP((A129),SONUC!$A$2:$L$10000,5,FALSE))</f>
        <v xml:space="preserve"> </v>
      </c>
      <c r="G129" s="4" t="str">
        <f>IF(ISBLANK(A129)," ",VLOOKUP((A129),SONUC!$A$2:$L$10000,6,FALSE))</f>
        <v xml:space="preserve"> </v>
      </c>
      <c r="H129" s="4" t="str">
        <f>IF(ISBLANK(A129)," ",VLOOKUP((A129),SONUC!$A$2:$L$10000,7,FALSE))</f>
        <v xml:space="preserve"> </v>
      </c>
      <c r="I129" s="4" t="str">
        <f>IF(ISBLANK(A129)," ",VLOOKUP((A129),SONUC!$A$2:$L$10000,8,FALSE))</f>
        <v xml:space="preserve"> </v>
      </c>
      <c r="J129" s="4" t="str">
        <f>IF(ISBLANK(A129)," ",VLOOKUP((A129),SONUC!$A$2:$L$10000,9,FALSE))</f>
        <v xml:space="preserve"> </v>
      </c>
      <c r="K129" s="4" t="str">
        <f>IF(ISBLANK(A129)," ",VLOOKUP((A129),SONUC!$A$2:$L$10000,10,FALSE))</f>
        <v xml:space="preserve"> </v>
      </c>
      <c r="L129" s="4" t="str">
        <f>IF(ISBLANK(A129)," ",VLOOKUP((A129),SONUC!$A$2:$L$10000,11,FALSE))</f>
        <v xml:space="preserve"> </v>
      </c>
      <c r="M129" s="4" t="str">
        <f>IF(ISBLANK(A129)," ",VLOOKUP((A129),SONUC!$A$2:$L$10000,12,FALSE))</f>
        <v xml:space="preserve"> </v>
      </c>
    </row>
    <row r="130" spans="2:13" x14ac:dyDescent="0.25">
      <c r="B130" s="4">
        <v>129</v>
      </c>
      <c r="C130" s="4" t="str">
        <f>IF(ISBLANK(A130)," ",VLOOKUP((A130),SONUC!$A$2:$L$10000,2,FALSE))</f>
        <v xml:space="preserve"> </v>
      </c>
      <c r="D130" s="4" t="str">
        <f>IF(ISBLANK(A130)," ",VLOOKUP((A130),SONUC!$A$2:$L$10000,3,FALSE))</f>
        <v xml:space="preserve"> </v>
      </c>
      <c r="E130" s="4" t="str">
        <f>IF(ISBLANK(A130)," ",VLOOKUP((A130),SONUC!$A$2:$L$10000,4,FALSE))</f>
        <v xml:space="preserve"> </v>
      </c>
      <c r="F130" s="4" t="str">
        <f>IF(ISBLANK(A130)," ",VLOOKUP((A130),SONUC!$A$2:$L$10000,5,FALSE))</f>
        <v xml:space="preserve"> </v>
      </c>
      <c r="G130" s="4" t="str">
        <f>IF(ISBLANK(A130)," ",VLOOKUP((A130),SONUC!$A$2:$L$10000,6,FALSE))</f>
        <v xml:space="preserve"> </v>
      </c>
      <c r="H130" s="4" t="str">
        <f>IF(ISBLANK(A130)," ",VLOOKUP((A130),SONUC!$A$2:$L$10000,7,FALSE))</f>
        <v xml:space="preserve"> </v>
      </c>
      <c r="I130" s="4" t="str">
        <f>IF(ISBLANK(A130)," ",VLOOKUP((A130),SONUC!$A$2:$L$10000,8,FALSE))</f>
        <v xml:space="preserve"> </v>
      </c>
      <c r="J130" s="4" t="str">
        <f>IF(ISBLANK(A130)," ",VLOOKUP((A130),SONUC!$A$2:$L$10000,9,FALSE))</f>
        <v xml:space="preserve"> </v>
      </c>
      <c r="K130" s="4" t="str">
        <f>IF(ISBLANK(A130)," ",VLOOKUP((A130),SONUC!$A$2:$L$10000,10,FALSE))</f>
        <v xml:space="preserve"> </v>
      </c>
      <c r="L130" s="4" t="str">
        <f>IF(ISBLANK(A130)," ",VLOOKUP((A130),SONUC!$A$2:$L$10000,11,FALSE))</f>
        <v xml:space="preserve"> </v>
      </c>
      <c r="M130" s="4" t="str">
        <f>IF(ISBLANK(A130)," ",VLOOKUP((A130),SONUC!$A$2:$L$10000,12,FALSE))</f>
        <v xml:space="preserve"> </v>
      </c>
    </row>
    <row r="131" spans="2:13" x14ac:dyDescent="0.25">
      <c r="B131" s="4">
        <v>130</v>
      </c>
      <c r="C131" s="4" t="str">
        <f>IF(ISBLANK(A131)," ",VLOOKUP((A131),SONUC!$A$2:$L$10000,2,FALSE))</f>
        <v xml:space="preserve"> </v>
      </c>
      <c r="D131" s="4" t="str">
        <f>IF(ISBLANK(A131)," ",VLOOKUP((A131),SONUC!$A$2:$L$10000,3,FALSE))</f>
        <v xml:space="preserve"> </v>
      </c>
      <c r="E131" s="4" t="str">
        <f>IF(ISBLANK(A131)," ",VLOOKUP((A131),SONUC!$A$2:$L$10000,4,FALSE))</f>
        <v xml:space="preserve"> </v>
      </c>
      <c r="F131" s="4" t="str">
        <f>IF(ISBLANK(A131)," ",VLOOKUP((A131),SONUC!$A$2:$L$10000,5,FALSE))</f>
        <v xml:space="preserve"> </v>
      </c>
      <c r="G131" s="4" t="str">
        <f>IF(ISBLANK(A131)," ",VLOOKUP((A131),SONUC!$A$2:$L$10000,6,FALSE))</f>
        <v xml:space="preserve"> </v>
      </c>
      <c r="H131" s="4" t="str">
        <f>IF(ISBLANK(A131)," ",VLOOKUP((A131),SONUC!$A$2:$L$10000,7,FALSE))</f>
        <v xml:space="preserve"> </v>
      </c>
      <c r="I131" s="4" t="str">
        <f>IF(ISBLANK(A131)," ",VLOOKUP((A131),SONUC!$A$2:$L$10000,8,FALSE))</f>
        <v xml:space="preserve"> </v>
      </c>
      <c r="J131" s="4" t="str">
        <f>IF(ISBLANK(A131)," ",VLOOKUP((A131),SONUC!$A$2:$L$10000,9,FALSE))</f>
        <v xml:space="preserve"> </v>
      </c>
      <c r="K131" s="4" t="str">
        <f>IF(ISBLANK(A131)," ",VLOOKUP((A131),SONUC!$A$2:$L$10000,10,FALSE))</f>
        <v xml:space="preserve"> </v>
      </c>
      <c r="L131" s="4" t="str">
        <f>IF(ISBLANK(A131)," ",VLOOKUP((A131),SONUC!$A$2:$L$10000,11,FALSE))</f>
        <v xml:space="preserve"> </v>
      </c>
      <c r="M131" s="4" t="str">
        <f>IF(ISBLANK(A131)," ",VLOOKUP((A131),SONUC!$A$2:$L$10000,12,FALSE))</f>
        <v xml:space="preserve"> </v>
      </c>
    </row>
    <row r="132" spans="2:13" x14ac:dyDescent="0.25">
      <c r="B132" s="4">
        <v>131</v>
      </c>
      <c r="C132" s="4" t="str">
        <f>IF(ISBLANK(A132)," ",VLOOKUP((A132),SONUC!$A$2:$L$10000,2,FALSE))</f>
        <v xml:space="preserve"> </v>
      </c>
      <c r="D132" s="4" t="str">
        <f>IF(ISBLANK(A132)," ",VLOOKUP((A132),SONUC!$A$2:$L$10000,3,FALSE))</f>
        <v xml:space="preserve"> </v>
      </c>
      <c r="E132" s="4" t="str">
        <f>IF(ISBLANK(A132)," ",VLOOKUP((A132),SONUC!$A$2:$L$10000,4,FALSE))</f>
        <v xml:space="preserve"> </v>
      </c>
      <c r="F132" s="4" t="str">
        <f>IF(ISBLANK(A132)," ",VLOOKUP((A132),SONUC!$A$2:$L$10000,5,FALSE))</f>
        <v xml:space="preserve"> </v>
      </c>
      <c r="G132" s="4" t="str">
        <f>IF(ISBLANK(A132)," ",VLOOKUP((A132),SONUC!$A$2:$L$10000,6,FALSE))</f>
        <v xml:space="preserve"> </v>
      </c>
      <c r="H132" s="4" t="str">
        <f>IF(ISBLANK(A132)," ",VLOOKUP((A132),SONUC!$A$2:$L$10000,7,FALSE))</f>
        <v xml:space="preserve"> </v>
      </c>
      <c r="I132" s="4" t="str">
        <f>IF(ISBLANK(A132)," ",VLOOKUP((A132),SONUC!$A$2:$L$10000,8,FALSE))</f>
        <v xml:space="preserve"> </v>
      </c>
      <c r="J132" s="4" t="str">
        <f>IF(ISBLANK(A132)," ",VLOOKUP((A132),SONUC!$A$2:$L$10000,9,FALSE))</f>
        <v xml:space="preserve"> </v>
      </c>
      <c r="K132" s="4" t="str">
        <f>IF(ISBLANK(A132)," ",VLOOKUP((A132),SONUC!$A$2:$L$10000,10,FALSE))</f>
        <v xml:space="preserve"> </v>
      </c>
      <c r="L132" s="4" t="str">
        <f>IF(ISBLANK(A132)," ",VLOOKUP((A132),SONUC!$A$2:$L$10000,11,FALSE))</f>
        <v xml:space="preserve"> </v>
      </c>
      <c r="M132" s="4" t="str">
        <f>IF(ISBLANK(A132)," ",VLOOKUP((A132),SONUC!$A$2:$L$10000,12,FALSE))</f>
        <v xml:space="preserve"> </v>
      </c>
    </row>
    <row r="133" spans="2:13" x14ac:dyDescent="0.25">
      <c r="B133" s="4">
        <v>132</v>
      </c>
      <c r="C133" s="4" t="str">
        <f>IF(ISBLANK(A133)," ",VLOOKUP((A133),SONUC!$A$2:$L$10000,2,FALSE))</f>
        <v xml:space="preserve"> </v>
      </c>
      <c r="D133" s="4" t="str">
        <f>IF(ISBLANK(A133)," ",VLOOKUP((A133),SONUC!$A$2:$L$10000,3,FALSE))</f>
        <v xml:space="preserve"> </v>
      </c>
      <c r="E133" s="4" t="str">
        <f>IF(ISBLANK(A133)," ",VLOOKUP((A133),SONUC!$A$2:$L$10000,4,FALSE))</f>
        <v xml:space="preserve"> </v>
      </c>
      <c r="F133" s="4" t="str">
        <f>IF(ISBLANK(A133)," ",VLOOKUP((A133),SONUC!$A$2:$L$10000,5,FALSE))</f>
        <v xml:space="preserve"> </v>
      </c>
      <c r="G133" s="4" t="str">
        <f>IF(ISBLANK(A133)," ",VLOOKUP((A133),SONUC!$A$2:$L$10000,6,FALSE))</f>
        <v xml:space="preserve"> </v>
      </c>
      <c r="H133" s="4" t="str">
        <f>IF(ISBLANK(A133)," ",VLOOKUP((A133),SONUC!$A$2:$L$10000,7,FALSE))</f>
        <v xml:space="preserve"> </v>
      </c>
      <c r="I133" s="4" t="str">
        <f>IF(ISBLANK(A133)," ",VLOOKUP((A133),SONUC!$A$2:$L$10000,8,FALSE))</f>
        <v xml:space="preserve"> </v>
      </c>
      <c r="J133" s="4" t="str">
        <f>IF(ISBLANK(A133)," ",VLOOKUP((A133),SONUC!$A$2:$L$10000,9,FALSE))</f>
        <v xml:space="preserve"> </v>
      </c>
      <c r="K133" s="4" t="str">
        <f>IF(ISBLANK(A133)," ",VLOOKUP((A133),SONUC!$A$2:$L$10000,10,FALSE))</f>
        <v xml:space="preserve"> </v>
      </c>
      <c r="L133" s="4" t="str">
        <f>IF(ISBLANK(A133)," ",VLOOKUP((A133),SONUC!$A$2:$L$10000,11,FALSE))</f>
        <v xml:space="preserve"> </v>
      </c>
      <c r="M133" s="4" t="str">
        <f>IF(ISBLANK(A133)," ",VLOOKUP((A133),SONUC!$A$2:$L$10000,12,FALSE))</f>
        <v xml:space="preserve"> </v>
      </c>
    </row>
    <row r="134" spans="2:13" x14ac:dyDescent="0.25">
      <c r="B134" s="4">
        <v>133</v>
      </c>
      <c r="C134" s="4" t="str">
        <f>IF(ISBLANK(A134)," ",VLOOKUP((A134),SONUC!$A$2:$L$10000,2,FALSE))</f>
        <v xml:space="preserve"> </v>
      </c>
      <c r="D134" s="4" t="str">
        <f>IF(ISBLANK(A134)," ",VLOOKUP((A134),SONUC!$A$2:$L$10000,3,FALSE))</f>
        <v xml:space="preserve"> </v>
      </c>
      <c r="E134" s="4" t="str">
        <f>IF(ISBLANK(A134)," ",VLOOKUP((A134),SONUC!$A$2:$L$10000,4,FALSE))</f>
        <v xml:space="preserve"> </v>
      </c>
      <c r="F134" s="4" t="str">
        <f>IF(ISBLANK(A134)," ",VLOOKUP((A134),SONUC!$A$2:$L$10000,5,FALSE))</f>
        <v xml:space="preserve"> </v>
      </c>
      <c r="G134" s="4" t="str">
        <f>IF(ISBLANK(A134)," ",VLOOKUP((A134),SONUC!$A$2:$L$10000,6,FALSE))</f>
        <v xml:space="preserve"> </v>
      </c>
      <c r="H134" s="4" t="str">
        <f>IF(ISBLANK(A134)," ",VLOOKUP((A134),SONUC!$A$2:$L$10000,7,FALSE))</f>
        <v xml:space="preserve"> </v>
      </c>
      <c r="I134" s="4" t="str">
        <f>IF(ISBLANK(A134)," ",VLOOKUP((A134),SONUC!$A$2:$L$10000,8,FALSE))</f>
        <v xml:space="preserve"> </v>
      </c>
      <c r="J134" s="4" t="str">
        <f>IF(ISBLANK(A134)," ",VLOOKUP((A134),SONUC!$A$2:$L$10000,9,FALSE))</f>
        <v xml:space="preserve"> </v>
      </c>
      <c r="K134" s="4" t="str">
        <f>IF(ISBLANK(A134)," ",VLOOKUP((A134),SONUC!$A$2:$L$10000,10,FALSE))</f>
        <v xml:space="preserve"> </v>
      </c>
      <c r="L134" s="4" t="str">
        <f>IF(ISBLANK(A134)," ",VLOOKUP((A134),SONUC!$A$2:$L$10000,11,FALSE))</f>
        <v xml:space="preserve"> </v>
      </c>
      <c r="M134" s="4" t="str">
        <f>IF(ISBLANK(A134)," ",VLOOKUP((A134),SONUC!$A$2:$L$10000,12,FALSE))</f>
        <v xml:space="preserve"> </v>
      </c>
    </row>
    <row r="135" spans="2:13" x14ac:dyDescent="0.25">
      <c r="B135" s="4">
        <v>134</v>
      </c>
      <c r="C135" s="4" t="str">
        <f>IF(ISBLANK(A135)," ",VLOOKUP((A135),SONUC!$A$2:$L$10000,2,FALSE))</f>
        <v xml:space="preserve"> </v>
      </c>
      <c r="D135" s="4" t="str">
        <f>IF(ISBLANK(A135)," ",VLOOKUP((A135),SONUC!$A$2:$L$10000,3,FALSE))</f>
        <v xml:space="preserve"> </v>
      </c>
      <c r="E135" s="4" t="str">
        <f>IF(ISBLANK(A135)," ",VLOOKUP((A135),SONUC!$A$2:$L$10000,4,FALSE))</f>
        <v xml:space="preserve"> </v>
      </c>
      <c r="F135" s="4" t="str">
        <f>IF(ISBLANK(A135)," ",VLOOKUP((A135),SONUC!$A$2:$L$10000,5,FALSE))</f>
        <v xml:space="preserve"> </v>
      </c>
      <c r="G135" s="4" t="str">
        <f>IF(ISBLANK(A135)," ",VLOOKUP((A135),SONUC!$A$2:$L$10000,6,FALSE))</f>
        <v xml:space="preserve"> </v>
      </c>
      <c r="H135" s="4" t="str">
        <f>IF(ISBLANK(A135)," ",VLOOKUP((A135),SONUC!$A$2:$L$10000,7,FALSE))</f>
        <v xml:space="preserve"> </v>
      </c>
      <c r="I135" s="4" t="str">
        <f>IF(ISBLANK(A135)," ",VLOOKUP((A135),SONUC!$A$2:$L$10000,8,FALSE))</f>
        <v xml:space="preserve"> </v>
      </c>
      <c r="J135" s="4" t="str">
        <f>IF(ISBLANK(A135)," ",VLOOKUP((A135),SONUC!$A$2:$L$10000,9,FALSE))</f>
        <v xml:space="preserve"> </v>
      </c>
      <c r="K135" s="4" t="str">
        <f>IF(ISBLANK(A135)," ",VLOOKUP((A135),SONUC!$A$2:$L$10000,10,FALSE))</f>
        <v xml:space="preserve"> </v>
      </c>
      <c r="L135" s="4" t="str">
        <f>IF(ISBLANK(A135)," ",VLOOKUP((A135),SONUC!$A$2:$L$10000,11,FALSE))</f>
        <v xml:space="preserve"> </v>
      </c>
      <c r="M135" s="4" t="str">
        <f>IF(ISBLANK(A135)," ",VLOOKUP((A135),SONUC!$A$2:$L$10000,12,FALSE))</f>
        <v xml:space="preserve"> </v>
      </c>
    </row>
    <row r="136" spans="2:13" x14ac:dyDescent="0.25">
      <c r="B136" s="4">
        <v>135</v>
      </c>
      <c r="C136" s="4" t="str">
        <f>IF(ISBLANK(A136)," ",VLOOKUP((A136),SONUC!$A$2:$L$10000,2,FALSE))</f>
        <v xml:space="preserve"> </v>
      </c>
      <c r="D136" s="4" t="str">
        <f>IF(ISBLANK(A136)," ",VLOOKUP((A136),SONUC!$A$2:$L$10000,3,FALSE))</f>
        <v xml:space="preserve"> </v>
      </c>
      <c r="E136" s="4" t="str">
        <f>IF(ISBLANK(A136)," ",VLOOKUP((A136),SONUC!$A$2:$L$10000,4,FALSE))</f>
        <v xml:space="preserve"> </v>
      </c>
      <c r="F136" s="4" t="str">
        <f>IF(ISBLANK(A136)," ",VLOOKUP((A136),SONUC!$A$2:$L$10000,5,FALSE))</f>
        <v xml:space="preserve"> </v>
      </c>
      <c r="G136" s="4" t="str">
        <f>IF(ISBLANK(A136)," ",VLOOKUP((A136),SONUC!$A$2:$L$10000,6,FALSE))</f>
        <v xml:space="preserve"> </v>
      </c>
      <c r="H136" s="4" t="str">
        <f>IF(ISBLANK(A136)," ",VLOOKUP((A136),SONUC!$A$2:$L$10000,7,FALSE))</f>
        <v xml:space="preserve"> </v>
      </c>
      <c r="I136" s="4" t="str">
        <f>IF(ISBLANK(A136)," ",VLOOKUP((A136),SONUC!$A$2:$L$10000,8,FALSE))</f>
        <v xml:space="preserve"> </v>
      </c>
      <c r="J136" s="4" t="str">
        <f>IF(ISBLANK(A136)," ",VLOOKUP((A136),SONUC!$A$2:$L$10000,9,FALSE))</f>
        <v xml:space="preserve"> </v>
      </c>
      <c r="K136" s="4" t="str">
        <f>IF(ISBLANK(A136)," ",VLOOKUP((A136),SONUC!$A$2:$L$10000,10,FALSE))</f>
        <v xml:space="preserve"> </v>
      </c>
      <c r="L136" s="4" t="str">
        <f>IF(ISBLANK(A136)," ",VLOOKUP((A136),SONUC!$A$2:$L$10000,11,FALSE))</f>
        <v xml:space="preserve"> </v>
      </c>
      <c r="M136" s="4" t="str">
        <f>IF(ISBLANK(A136)," ",VLOOKUP((A136),SONUC!$A$2:$L$10000,12,FALSE))</f>
        <v xml:space="preserve"> </v>
      </c>
    </row>
    <row r="137" spans="2:13" x14ac:dyDescent="0.25">
      <c r="B137" s="4">
        <v>136</v>
      </c>
      <c r="C137" s="4" t="str">
        <f>IF(ISBLANK(A137)," ",VLOOKUP((A137),SONUC!$A$2:$L$10000,2,FALSE))</f>
        <v xml:space="preserve"> </v>
      </c>
      <c r="D137" s="4" t="str">
        <f>IF(ISBLANK(A137)," ",VLOOKUP((A137),SONUC!$A$2:$L$10000,3,FALSE))</f>
        <v xml:space="preserve"> </v>
      </c>
      <c r="E137" s="4" t="str">
        <f>IF(ISBLANK(A137)," ",VLOOKUP((A137),SONUC!$A$2:$L$10000,4,FALSE))</f>
        <v xml:space="preserve"> </v>
      </c>
      <c r="F137" s="4" t="str">
        <f>IF(ISBLANK(A137)," ",VLOOKUP((A137),SONUC!$A$2:$L$10000,5,FALSE))</f>
        <v xml:space="preserve"> </v>
      </c>
      <c r="G137" s="4" t="str">
        <f>IF(ISBLANK(A137)," ",VLOOKUP((A137),SONUC!$A$2:$L$10000,6,FALSE))</f>
        <v xml:space="preserve"> </v>
      </c>
      <c r="H137" s="4" t="str">
        <f>IF(ISBLANK(A137)," ",VLOOKUP((A137),SONUC!$A$2:$L$10000,7,FALSE))</f>
        <v xml:space="preserve"> </v>
      </c>
      <c r="I137" s="4" t="str">
        <f>IF(ISBLANK(A137)," ",VLOOKUP((A137),SONUC!$A$2:$L$10000,8,FALSE))</f>
        <v xml:space="preserve"> </v>
      </c>
      <c r="J137" s="4" t="str">
        <f>IF(ISBLANK(A137)," ",VLOOKUP((A137),SONUC!$A$2:$L$10000,9,FALSE))</f>
        <v xml:space="preserve"> </v>
      </c>
      <c r="K137" s="4" t="str">
        <f>IF(ISBLANK(A137)," ",VLOOKUP((A137),SONUC!$A$2:$L$10000,10,FALSE))</f>
        <v xml:space="preserve"> </v>
      </c>
      <c r="L137" s="4" t="str">
        <f>IF(ISBLANK(A137)," ",VLOOKUP((A137),SONUC!$A$2:$L$10000,11,FALSE))</f>
        <v xml:space="preserve"> </v>
      </c>
      <c r="M137" s="4" t="str">
        <f>IF(ISBLANK(A137)," ",VLOOKUP((A137),SONUC!$A$2:$L$10000,12,FALSE))</f>
        <v xml:space="preserve"> </v>
      </c>
    </row>
    <row r="138" spans="2:13" x14ac:dyDescent="0.25">
      <c r="B138" s="4">
        <v>137</v>
      </c>
      <c r="C138" s="4" t="str">
        <f>IF(ISBLANK(A138)," ",VLOOKUP((A138),SONUC!$A$2:$L$10000,2,FALSE))</f>
        <v xml:space="preserve"> </v>
      </c>
      <c r="D138" s="4" t="str">
        <f>IF(ISBLANK(A138)," ",VLOOKUP((A138),SONUC!$A$2:$L$10000,3,FALSE))</f>
        <v xml:space="preserve"> </v>
      </c>
      <c r="E138" s="4" t="str">
        <f>IF(ISBLANK(A138)," ",VLOOKUP((A138),SONUC!$A$2:$L$10000,4,FALSE))</f>
        <v xml:space="preserve"> </v>
      </c>
      <c r="F138" s="4" t="str">
        <f>IF(ISBLANK(A138)," ",VLOOKUP((A138),SONUC!$A$2:$L$10000,5,FALSE))</f>
        <v xml:space="preserve"> </v>
      </c>
      <c r="G138" s="4" t="str">
        <f>IF(ISBLANK(A138)," ",VLOOKUP((A138),SONUC!$A$2:$L$10000,6,FALSE))</f>
        <v xml:space="preserve"> </v>
      </c>
      <c r="H138" s="4" t="str">
        <f>IF(ISBLANK(A138)," ",VLOOKUP((A138),SONUC!$A$2:$L$10000,7,FALSE))</f>
        <v xml:space="preserve"> </v>
      </c>
      <c r="I138" s="4" t="str">
        <f>IF(ISBLANK(A138)," ",VLOOKUP((A138),SONUC!$A$2:$L$10000,8,FALSE))</f>
        <v xml:space="preserve"> </v>
      </c>
      <c r="J138" s="4" t="str">
        <f>IF(ISBLANK(A138)," ",VLOOKUP((A138),SONUC!$A$2:$L$10000,9,FALSE))</f>
        <v xml:space="preserve"> </v>
      </c>
      <c r="K138" s="4" t="str">
        <f>IF(ISBLANK(A138)," ",VLOOKUP((A138),SONUC!$A$2:$L$10000,10,FALSE))</f>
        <v xml:space="preserve"> </v>
      </c>
      <c r="L138" s="4" t="str">
        <f>IF(ISBLANK(A138)," ",VLOOKUP((A138),SONUC!$A$2:$L$10000,11,FALSE))</f>
        <v xml:space="preserve"> </v>
      </c>
      <c r="M138" s="4" t="str">
        <f>IF(ISBLANK(A138)," ",VLOOKUP((A138),SONUC!$A$2:$L$10000,12,FALSE))</f>
        <v xml:space="preserve"> </v>
      </c>
    </row>
    <row r="139" spans="2:13" x14ac:dyDescent="0.25">
      <c r="B139" s="4">
        <v>138</v>
      </c>
      <c r="C139" s="4" t="str">
        <f>IF(ISBLANK(A139)," ",VLOOKUP((A139),SONUC!$A$2:$L$10000,2,FALSE))</f>
        <v xml:space="preserve"> </v>
      </c>
      <c r="D139" s="4" t="str">
        <f>IF(ISBLANK(A139)," ",VLOOKUP((A139),SONUC!$A$2:$L$10000,3,FALSE))</f>
        <v xml:space="preserve"> </v>
      </c>
      <c r="E139" s="4" t="str">
        <f>IF(ISBLANK(A139)," ",VLOOKUP((A139),SONUC!$A$2:$L$10000,4,FALSE))</f>
        <v xml:space="preserve"> </v>
      </c>
      <c r="F139" s="4" t="str">
        <f>IF(ISBLANK(A139)," ",VLOOKUP((A139),SONUC!$A$2:$L$10000,5,FALSE))</f>
        <v xml:space="preserve"> </v>
      </c>
      <c r="G139" s="4" t="str">
        <f>IF(ISBLANK(A139)," ",VLOOKUP((A139),SONUC!$A$2:$L$10000,6,FALSE))</f>
        <v xml:space="preserve"> </v>
      </c>
      <c r="H139" s="4" t="str">
        <f>IF(ISBLANK(A139)," ",VLOOKUP((A139),SONUC!$A$2:$L$10000,7,FALSE))</f>
        <v xml:space="preserve"> </v>
      </c>
      <c r="I139" s="4" t="str">
        <f>IF(ISBLANK(A139)," ",VLOOKUP((A139),SONUC!$A$2:$L$10000,8,FALSE))</f>
        <v xml:space="preserve"> </v>
      </c>
      <c r="J139" s="4" t="str">
        <f>IF(ISBLANK(A139)," ",VLOOKUP((A139),SONUC!$A$2:$L$10000,9,FALSE))</f>
        <v xml:space="preserve"> </v>
      </c>
      <c r="K139" s="4" t="str">
        <f>IF(ISBLANK(A139)," ",VLOOKUP((A139),SONUC!$A$2:$L$10000,10,FALSE))</f>
        <v xml:space="preserve"> </v>
      </c>
      <c r="L139" s="4" t="str">
        <f>IF(ISBLANK(A139)," ",VLOOKUP((A139),SONUC!$A$2:$L$10000,11,FALSE))</f>
        <v xml:space="preserve"> </v>
      </c>
      <c r="M139" s="4" t="str">
        <f>IF(ISBLANK(A139)," ",VLOOKUP((A139),SONUC!$A$2:$L$10000,12,FALSE))</f>
        <v xml:space="preserve"> </v>
      </c>
    </row>
    <row r="140" spans="2:13" x14ac:dyDescent="0.25">
      <c r="B140" s="4">
        <v>139</v>
      </c>
      <c r="C140" s="4" t="str">
        <f>IF(ISBLANK(A140)," ",VLOOKUP((A140),SONUC!$A$2:$L$10000,2,FALSE))</f>
        <v xml:space="preserve"> </v>
      </c>
      <c r="D140" s="4" t="str">
        <f>IF(ISBLANK(A140)," ",VLOOKUP((A140),SONUC!$A$2:$L$10000,3,FALSE))</f>
        <v xml:space="preserve"> </v>
      </c>
      <c r="E140" s="4" t="str">
        <f>IF(ISBLANK(A140)," ",VLOOKUP((A140),SONUC!$A$2:$L$10000,4,FALSE))</f>
        <v xml:space="preserve"> </v>
      </c>
      <c r="F140" s="4" t="str">
        <f>IF(ISBLANK(A140)," ",VLOOKUP((A140),SONUC!$A$2:$L$10000,5,FALSE))</f>
        <v xml:space="preserve"> </v>
      </c>
      <c r="G140" s="4" t="str">
        <f>IF(ISBLANK(A140)," ",VLOOKUP((A140),SONUC!$A$2:$L$10000,6,FALSE))</f>
        <v xml:space="preserve"> </v>
      </c>
      <c r="H140" s="4" t="str">
        <f>IF(ISBLANK(A140)," ",VLOOKUP((A140),SONUC!$A$2:$L$10000,7,FALSE))</f>
        <v xml:space="preserve"> </v>
      </c>
      <c r="I140" s="4" t="str">
        <f>IF(ISBLANK(A140)," ",VLOOKUP((A140),SONUC!$A$2:$L$10000,8,FALSE))</f>
        <v xml:space="preserve"> </v>
      </c>
      <c r="J140" s="4" t="str">
        <f>IF(ISBLANK(A140)," ",VLOOKUP((A140),SONUC!$A$2:$L$10000,9,FALSE))</f>
        <v xml:space="preserve"> </v>
      </c>
      <c r="K140" s="4" t="str">
        <f>IF(ISBLANK(A140)," ",VLOOKUP((A140),SONUC!$A$2:$L$10000,10,FALSE))</f>
        <v xml:space="preserve"> </v>
      </c>
      <c r="L140" s="4" t="str">
        <f>IF(ISBLANK(A140)," ",VLOOKUP((A140),SONUC!$A$2:$L$10000,11,FALSE))</f>
        <v xml:space="preserve"> </v>
      </c>
      <c r="M140" s="4" t="str">
        <f>IF(ISBLANK(A140)," ",VLOOKUP((A140),SONUC!$A$2:$L$10000,12,FALSE))</f>
        <v xml:space="preserve"> </v>
      </c>
    </row>
    <row r="141" spans="2:13" x14ac:dyDescent="0.25">
      <c r="B141" s="4">
        <v>140</v>
      </c>
      <c r="C141" s="4" t="str">
        <f>IF(ISBLANK(A141)," ",VLOOKUP((A141),SONUC!$A$2:$L$10000,2,FALSE))</f>
        <v xml:space="preserve"> </v>
      </c>
      <c r="D141" s="4" t="str">
        <f>IF(ISBLANK(A141)," ",VLOOKUP((A141),SONUC!$A$2:$L$10000,3,FALSE))</f>
        <v xml:space="preserve"> </v>
      </c>
      <c r="E141" s="4" t="str">
        <f>IF(ISBLANK(A141)," ",VLOOKUP((A141),SONUC!$A$2:$L$10000,4,FALSE))</f>
        <v xml:space="preserve"> </v>
      </c>
      <c r="F141" s="4" t="str">
        <f>IF(ISBLANK(A141)," ",VLOOKUP((A141),SONUC!$A$2:$L$10000,5,FALSE))</f>
        <v xml:space="preserve"> </v>
      </c>
      <c r="G141" s="4" t="str">
        <f>IF(ISBLANK(A141)," ",VLOOKUP((A141),SONUC!$A$2:$L$10000,6,FALSE))</f>
        <v xml:space="preserve"> </v>
      </c>
      <c r="H141" s="4" t="str">
        <f>IF(ISBLANK(A141)," ",VLOOKUP((A141),SONUC!$A$2:$L$10000,7,FALSE))</f>
        <v xml:space="preserve"> </v>
      </c>
      <c r="I141" s="4" t="str">
        <f>IF(ISBLANK(A141)," ",VLOOKUP((A141),SONUC!$A$2:$L$10000,8,FALSE))</f>
        <v xml:space="preserve"> </v>
      </c>
      <c r="J141" s="4" t="str">
        <f>IF(ISBLANK(A141)," ",VLOOKUP((A141),SONUC!$A$2:$L$10000,9,FALSE))</f>
        <v xml:space="preserve"> </v>
      </c>
      <c r="K141" s="4" t="str">
        <f>IF(ISBLANK(A141)," ",VLOOKUP((A141),SONUC!$A$2:$L$10000,10,FALSE))</f>
        <v xml:space="preserve"> </v>
      </c>
      <c r="L141" s="4" t="str">
        <f>IF(ISBLANK(A141)," ",VLOOKUP((A141),SONUC!$A$2:$L$10000,11,FALSE))</f>
        <v xml:space="preserve"> </v>
      </c>
      <c r="M141" s="4" t="str">
        <f>IF(ISBLANK(A141)," ",VLOOKUP((A141),SONUC!$A$2:$L$10000,12,FALSE))</f>
        <v xml:space="preserve"> </v>
      </c>
    </row>
    <row r="142" spans="2:13" x14ac:dyDescent="0.25">
      <c r="B142" s="4">
        <v>141</v>
      </c>
      <c r="C142" s="4" t="str">
        <f>IF(ISBLANK(A142)," ",VLOOKUP((A142),SONUC!$A$2:$L$10000,2,FALSE))</f>
        <v xml:space="preserve"> </v>
      </c>
      <c r="D142" s="4" t="str">
        <f>IF(ISBLANK(A142)," ",VLOOKUP((A142),SONUC!$A$2:$L$10000,3,FALSE))</f>
        <v xml:space="preserve"> </v>
      </c>
      <c r="E142" s="4" t="str">
        <f>IF(ISBLANK(A142)," ",VLOOKUP((A142),SONUC!$A$2:$L$10000,4,FALSE))</f>
        <v xml:space="preserve"> </v>
      </c>
      <c r="F142" s="4" t="str">
        <f>IF(ISBLANK(A142)," ",VLOOKUP((A142),SONUC!$A$2:$L$10000,5,FALSE))</f>
        <v xml:space="preserve"> </v>
      </c>
      <c r="G142" s="4" t="str">
        <f>IF(ISBLANK(A142)," ",VLOOKUP((A142),SONUC!$A$2:$L$10000,6,FALSE))</f>
        <v xml:space="preserve"> </v>
      </c>
      <c r="H142" s="4" t="str">
        <f>IF(ISBLANK(A142)," ",VLOOKUP((A142),SONUC!$A$2:$L$10000,7,FALSE))</f>
        <v xml:space="preserve"> </v>
      </c>
      <c r="I142" s="4" t="str">
        <f>IF(ISBLANK(A142)," ",VLOOKUP((A142),SONUC!$A$2:$L$10000,8,FALSE))</f>
        <v xml:space="preserve"> </v>
      </c>
      <c r="J142" s="4" t="str">
        <f>IF(ISBLANK(A142)," ",VLOOKUP((A142),SONUC!$A$2:$L$10000,9,FALSE))</f>
        <v xml:space="preserve"> </v>
      </c>
      <c r="K142" s="4" t="str">
        <f>IF(ISBLANK(A142)," ",VLOOKUP((A142),SONUC!$A$2:$L$10000,10,FALSE))</f>
        <v xml:space="preserve"> </v>
      </c>
      <c r="L142" s="4" t="str">
        <f>IF(ISBLANK(A142)," ",VLOOKUP((A142),SONUC!$A$2:$L$10000,11,FALSE))</f>
        <v xml:space="preserve"> </v>
      </c>
      <c r="M142" s="4" t="str">
        <f>IF(ISBLANK(A142)," ",VLOOKUP((A142),SONUC!$A$2:$L$10000,12,FALSE))</f>
        <v xml:space="preserve"> </v>
      </c>
    </row>
    <row r="143" spans="2:13" x14ac:dyDescent="0.25">
      <c r="B143" s="4">
        <v>142</v>
      </c>
      <c r="C143" s="4" t="str">
        <f>IF(ISBLANK(A143)," ",VLOOKUP((A143),SONUC!$A$2:$L$10000,2,FALSE))</f>
        <v xml:space="preserve"> </v>
      </c>
      <c r="D143" s="4" t="str">
        <f>IF(ISBLANK(A143)," ",VLOOKUP((A143),SONUC!$A$2:$L$10000,3,FALSE))</f>
        <v xml:space="preserve"> </v>
      </c>
      <c r="E143" s="4" t="str">
        <f>IF(ISBLANK(A143)," ",VLOOKUP((A143),SONUC!$A$2:$L$10000,4,FALSE))</f>
        <v xml:space="preserve"> </v>
      </c>
      <c r="F143" s="4" t="str">
        <f>IF(ISBLANK(A143)," ",VLOOKUP((A143),SONUC!$A$2:$L$10000,5,FALSE))</f>
        <v xml:space="preserve"> </v>
      </c>
      <c r="G143" s="4" t="str">
        <f>IF(ISBLANK(A143)," ",VLOOKUP((A143),SONUC!$A$2:$L$10000,6,FALSE))</f>
        <v xml:space="preserve"> </v>
      </c>
      <c r="H143" s="4" t="str">
        <f>IF(ISBLANK(A143)," ",VLOOKUP((A143),SONUC!$A$2:$L$10000,7,FALSE))</f>
        <v xml:space="preserve"> </v>
      </c>
      <c r="I143" s="4" t="str">
        <f>IF(ISBLANK(A143)," ",VLOOKUP((A143),SONUC!$A$2:$L$10000,8,FALSE))</f>
        <v xml:space="preserve"> </v>
      </c>
      <c r="J143" s="4" t="str">
        <f>IF(ISBLANK(A143)," ",VLOOKUP((A143),SONUC!$A$2:$L$10000,9,FALSE))</f>
        <v xml:space="preserve"> </v>
      </c>
      <c r="K143" s="4" t="str">
        <f>IF(ISBLANK(A143)," ",VLOOKUP((A143),SONUC!$A$2:$L$10000,10,FALSE))</f>
        <v xml:space="preserve"> </v>
      </c>
      <c r="L143" s="4" t="str">
        <f>IF(ISBLANK(A143)," ",VLOOKUP((A143),SONUC!$A$2:$L$10000,11,FALSE))</f>
        <v xml:space="preserve"> </v>
      </c>
      <c r="M143" s="4" t="str">
        <f>IF(ISBLANK(A143)," ",VLOOKUP((A143),SONUC!$A$2:$L$10000,12,FALSE))</f>
        <v xml:space="preserve"> </v>
      </c>
    </row>
    <row r="144" spans="2:13" x14ac:dyDescent="0.25">
      <c r="B144" s="4">
        <v>143</v>
      </c>
      <c r="C144" s="4" t="str">
        <f>IF(ISBLANK(A144)," ",VLOOKUP((A144),SONUC!$A$2:$L$10000,2,FALSE))</f>
        <v xml:space="preserve"> </v>
      </c>
      <c r="D144" s="4" t="str">
        <f>IF(ISBLANK(A144)," ",VLOOKUP((A144),SONUC!$A$2:$L$10000,3,FALSE))</f>
        <v xml:space="preserve"> </v>
      </c>
      <c r="E144" s="4" t="str">
        <f>IF(ISBLANK(A144)," ",VLOOKUP((A144),SONUC!$A$2:$L$10000,4,FALSE))</f>
        <v xml:space="preserve"> </v>
      </c>
      <c r="F144" s="4" t="str">
        <f>IF(ISBLANK(A144)," ",VLOOKUP((A144),SONUC!$A$2:$L$10000,5,FALSE))</f>
        <v xml:space="preserve"> </v>
      </c>
      <c r="G144" s="4" t="str">
        <f>IF(ISBLANK(A144)," ",VLOOKUP((A144),SONUC!$A$2:$L$10000,6,FALSE))</f>
        <v xml:space="preserve"> </v>
      </c>
      <c r="H144" s="4" t="str">
        <f>IF(ISBLANK(A144)," ",VLOOKUP((A144),SONUC!$A$2:$L$10000,7,FALSE))</f>
        <v xml:space="preserve"> </v>
      </c>
      <c r="I144" s="4" t="str">
        <f>IF(ISBLANK(A144)," ",VLOOKUP((A144),SONUC!$A$2:$L$10000,8,FALSE))</f>
        <v xml:space="preserve"> </v>
      </c>
      <c r="J144" s="4" t="str">
        <f>IF(ISBLANK(A144)," ",VLOOKUP((A144),SONUC!$A$2:$L$10000,9,FALSE))</f>
        <v xml:space="preserve"> </v>
      </c>
      <c r="K144" s="4" t="str">
        <f>IF(ISBLANK(A144)," ",VLOOKUP((A144),SONUC!$A$2:$L$10000,10,FALSE))</f>
        <v xml:space="preserve"> </v>
      </c>
      <c r="L144" s="4" t="str">
        <f>IF(ISBLANK(A144)," ",VLOOKUP((A144),SONUC!$A$2:$L$10000,11,FALSE))</f>
        <v xml:space="preserve"> </v>
      </c>
      <c r="M144" s="4" t="str">
        <f>IF(ISBLANK(A144)," ",VLOOKUP((A144),SONUC!$A$2:$L$10000,12,FALSE))</f>
        <v xml:space="preserve"> </v>
      </c>
    </row>
    <row r="145" spans="2:13" x14ac:dyDescent="0.25">
      <c r="B145" s="4">
        <v>144</v>
      </c>
      <c r="C145" s="4" t="str">
        <f>IF(ISBLANK(A145)," ",VLOOKUP((A145),SONUC!$A$2:$L$10000,2,FALSE))</f>
        <v xml:space="preserve"> </v>
      </c>
      <c r="D145" s="4" t="str">
        <f>IF(ISBLANK(A145)," ",VLOOKUP((A145),SONUC!$A$2:$L$10000,3,FALSE))</f>
        <v xml:space="preserve"> </v>
      </c>
      <c r="E145" s="4" t="str">
        <f>IF(ISBLANK(A145)," ",VLOOKUP((A145),SONUC!$A$2:$L$10000,4,FALSE))</f>
        <v xml:space="preserve"> </v>
      </c>
      <c r="F145" s="4" t="str">
        <f>IF(ISBLANK(A145)," ",VLOOKUP((A145),SONUC!$A$2:$L$10000,5,FALSE))</f>
        <v xml:space="preserve"> </v>
      </c>
      <c r="G145" s="4" t="str">
        <f>IF(ISBLANK(A145)," ",VLOOKUP((A145),SONUC!$A$2:$L$10000,6,FALSE))</f>
        <v xml:space="preserve"> </v>
      </c>
      <c r="H145" s="4" t="str">
        <f>IF(ISBLANK(A145)," ",VLOOKUP((A145),SONUC!$A$2:$L$10000,7,FALSE))</f>
        <v xml:space="preserve"> </v>
      </c>
      <c r="I145" s="4" t="str">
        <f>IF(ISBLANK(A145)," ",VLOOKUP((A145),SONUC!$A$2:$L$10000,8,FALSE))</f>
        <v xml:space="preserve"> </v>
      </c>
      <c r="J145" s="4" t="str">
        <f>IF(ISBLANK(A145)," ",VLOOKUP((A145),SONUC!$A$2:$L$10000,9,FALSE))</f>
        <v xml:space="preserve"> </v>
      </c>
      <c r="K145" s="4" t="str">
        <f>IF(ISBLANK(A145)," ",VLOOKUP((A145),SONUC!$A$2:$L$10000,10,FALSE))</f>
        <v xml:space="preserve"> </v>
      </c>
      <c r="L145" s="4" t="str">
        <f>IF(ISBLANK(A145)," ",VLOOKUP((A145),SONUC!$A$2:$L$10000,11,FALSE))</f>
        <v xml:space="preserve"> </v>
      </c>
      <c r="M145" s="4" t="str">
        <f>IF(ISBLANK(A145)," ",VLOOKUP((A145),SONUC!$A$2:$L$10000,12,FALSE))</f>
        <v xml:space="preserve"> </v>
      </c>
    </row>
    <row r="146" spans="2:13" x14ac:dyDescent="0.25">
      <c r="B146" s="4">
        <v>145</v>
      </c>
      <c r="C146" s="4" t="str">
        <f>IF(ISBLANK(A146)," ",VLOOKUP((A146),SONUC!$A$2:$L$10000,2,FALSE))</f>
        <v xml:space="preserve"> </v>
      </c>
      <c r="D146" s="4" t="str">
        <f>IF(ISBLANK(A146)," ",VLOOKUP((A146),SONUC!$A$2:$L$10000,3,FALSE))</f>
        <v xml:space="preserve"> </v>
      </c>
      <c r="E146" s="4" t="str">
        <f>IF(ISBLANK(A146)," ",VLOOKUP((A146),SONUC!$A$2:$L$10000,4,FALSE))</f>
        <v xml:space="preserve"> </v>
      </c>
      <c r="F146" s="4" t="str">
        <f>IF(ISBLANK(A146)," ",VLOOKUP((A146),SONUC!$A$2:$L$10000,5,FALSE))</f>
        <v xml:space="preserve"> </v>
      </c>
      <c r="G146" s="4" t="str">
        <f>IF(ISBLANK(A146)," ",VLOOKUP((A146),SONUC!$A$2:$L$10000,6,FALSE))</f>
        <v xml:space="preserve"> </v>
      </c>
      <c r="H146" s="4" t="str">
        <f>IF(ISBLANK(A146)," ",VLOOKUP((A146),SONUC!$A$2:$L$10000,7,FALSE))</f>
        <v xml:space="preserve"> </v>
      </c>
      <c r="I146" s="4" t="str">
        <f>IF(ISBLANK(A146)," ",VLOOKUP((A146),SONUC!$A$2:$L$10000,8,FALSE))</f>
        <v xml:space="preserve"> </v>
      </c>
      <c r="J146" s="4" t="str">
        <f>IF(ISBLANK(A146)," ",VLOOKUP((A146),SONUC!$A$2:$L$10000,9,FALSE))</f>
        <v xml:space="preserve"> </v>
      </c>
      <c r="K146" s="4" t="str">
        <f>IF(ISBLANK(A146)," ",VLOOKUP((A146),SONUC!$A$2:$L$10000,10,FALSE))</f>
        <v xml:space="preserve"> </v>
      </c>
      <c r="L146" s="4" t="str">
        <f>IF(ISBLANK(A146)," ",VLOOKUP((A146),SONUC!$A$2:$L$10000,11,FALSE))</f>
        <v xml:space="preserve"> </v>
      </c>
      <c r="M146" s="4" t="str">
        <f>IF(ISBLANK(A146)," ",VLOOKUP((A146),SONUC!$A$2:$L$10000,12,FALSE))</f>
        <v xml:space="preserve"> </v>
      </c>
    </row>
    <row r="147" spans="2:13" x14ac:dyDescent="0.25">
      <c r="B147" s="4">
        <v>146</v>
      </c>
      <c r="C147" s="4" t="str">
        <f>IF(ISBLANK(A147)," ",VLOOKUP((A147),SONUC!$A$2:$L$10000,2,FALSE))</f>
        <v xml:space="preserve"> </v>
      </c>
      <c r="D147" s="4" t="str">
        <f>IF(ISBLANK(A147)," ",VLOOKUP((A147),SONUC!$A$2:$L$10000,3,FALSE))</f>
        <v xml:space="preserve"> </v>
      </c>
      <c r="E147" s="4" t="str">
        <f>IF(ISBLANK(A147)," ",VLOOKUP((A147),SONUC!$A$2:$L$10000,4,FALSE))</f>
        <v xml:space="preserve"> </v>
      </c>
      <c r="F147" s="4" t="str">
        <f>IF(ISBLANK(A147)," ",VLOOKUP((A147),SONUC!$A$2:$L$10000,5,FALSE))</f>
        <v xml:space="preserve"> </v>
      </c>
      <c r="G147" s="4" t="str">
        <f>IF(ISBLANK(A147)," ",VLOOKUP((A147),SONUC!$A$2:$L$10000,6,FALSE))</f>
        <v xml:space="preserve"> </v>
      </c>
      <c r="H147" s="4" t="str">
        <f>IF(ISBLANK(A147)," ",VLOOKUP((A147),SONUC!$A$2:$L$10000,7,FALSE))</f>
        <v xml:space="preserve"> </v>
      </c>
      <c r="I147" s="4" t="str">
        <f>IF(ISBLANK(A147)," ",VLOOKUP((A147),SONUC!$A$2:$L$10000,8,FALSE))</f>
        <v xml:space="preserve"> </v>
      </c>
      <c r="J147" s="4" t="str">
        <f>IF(ISBLANK(A147)," ",VLOOKUP((A147),SONUC!$A$2:$L$10000,9,FALSE))</f>
        <v xml:space="preserve"> </v>
      </c>
      <c r="K147" s="4" t="str">
        <f>IF(ISBLANK(A147)," ",VLOOKUP((A147),SONUC!$A$2:$L$10000,10,FALSE))</f>
        <v xml:space="preserve"> </v>
      </c>
      <c r="L147" s="4" t="str">
        <f>IF(ISBLANK(A147)," ",VLOOKUP((A147),SONUC!$A$2:$L$10000,11,FALSE))</f>
        <v xml:space="preserve"> </v>
      </c>
      <c r="M147" s="4" t="str">
        <f>IF(ISBLANK(A147)," ",VLOOKUP((A147),SONUC!$A$2:$L$10000,12,FALSE))</f>
        <v xml:space="preserve"> </v>
      </c>
    </row>
    <row r="148" spans="2:13" x14ac:dyDescent="0.25">
      <c r="B148" s="4">
        <v>147</v>
      </c>
      <c r="C148" s="4" t="str">
        <f>IF(ISBLANK(A148)," ",VLOOKUP((A148),SONUC!$A$2:$L$10000,2,FALSE))</f>
        <v xml:space="preserve"> </v>
      </c>
      <c r="D148" s="4" t="str">
        <f>IF(ISBLANK(A148)," ",VLOOKUP((A148),SONUC!$A$2:$L$10000,3,FALSE))</f>
        <v xml:space="preserve"> </v>
      </c>
      <c r="E148" s="4" t="str">
        <f>IF(ISBLANK(A148)," ",VLOOKUP((A148),SONUC!$A$2:$L$10000,4,FALSE))</f>
        <v xml:space="preserve"> </v>
      </c>
      <c r="F148" s="4" t="str">
        <f>IF(ISBLANK(A148)," ",VLOOKUP((A148),SONUC!$A$2:$L$10000,5,FALSE))</f>
        <v xml:space="preserve"> </v>
      </c>
      <c r="G148" s="4" t="str">
        <f>IF(ISBLANK(A148)," ",VLOOKUP((A148),SONUC!$A$2:$L$10000,6,FALSE))</f>
        <v xml:space="preserve"> </v>
      </c>
      <c r="H148" s="4" t="str">
        <f>IF(ISBLANK(A148)," ",VLOOKUP((A148),SONUC!$A$2:$L$10000,7,FALSE))</f>
        <v xml:space="preserve"> </v>
      </c>
      <c r="I148" s="4" t="str">
        <f>IF(ISBLANK(A148)," ",VLOOKUP((A148),SONUC!$A$2:$L$10000,8,FALSE))</f>
        <v xml:space="preserve"> </v>
      </c>
      <c r="J148" s="4" t="str">
        <f>IF(ISBLANK(A148)," ",VLOOKUP((A148),SONUC!$A$2:$L$10000,9,FALSE))</f>
        <v xml:space="preserve"> </v>
      </c>
      <c r="K148" s="4" t="str">
        <f>IF(ISBLANK(A148)," ",VLOOKUP((A148),SONUC!$A$2:$L$10000,10,FALSE))</f>
        <v xml:space="preserve"> </v>
      </c>
      <c r="L148" s="4" t="str">
        <f>IF(ISBLANK(A148)," ",VLOOKUP((A148),SONUC!$A$2:$L$10000,11,FALSE))</f>
        <v xml:space="preserve"> </v>
      </c>
      <c r="M148" s="4" t="str">
        <f>IF(ISBLANK(A148)," ",VLOOKUP((A148),SONUC!$A$2:$L$10000,12,FALSE))</f>
        <v xml:space="preserve"> </v>
      </c>
    </row>
    <row r="149" spans="2:13" x14ac:dyDescent="0.25">
      <c r="B149" s="4">
        <v>148</v>
      </c>
      <c r="C149" s="4" t="str">
        <f>IF(ISBLANK(A149)," ",VLOOKUP((A149),SONUC!$A$2:$L$10000,2,FALSE))</f>
        <v xml:space="preserve"> </v>
      </c>
      <c r="D149" s="4" t="str">
        <f>IF(ISBLANK(A149)," ",VLOOKUP((A149),SONUC!$A$2:$L$10000,3,FALSE))</f>
        <v xml:space="preserve"> </v>
      </c>
      <c r="E149" s="4" t="str">
        <f>IF(ISBLANK(A149)," ",VLOOKUP((A149),SONUC!$A$2:$L$10000,4,FALSE))</f>
        <v xml:space="preserve"> </v>
      </c>
      <c r="F149" s="4" t="str">
        <f>IF(ISBLANK(A149)," ",VLOOKUP((A149),SONUC!$A$2:$L$10000,5,FALSE))</f>
        <v xml:space="preserve"> </v>
      </c>
      <c r="G149" s="4" t="str">
        <f>IF(ISBLANK(A149)," ",VLOOKUP((A149),SONUC!$A$2:$L$10000,6,FALSE))</f>
        <v xml:space="preserve"> </v>
      </c>
      <c r="H149" s="4" t="str">
        <f>IF(ISBLANK(A149)," ",VLOOKUP((A149),SONUC!$A$2:$L$10000,7,FALSE))</f>
        <v xml:space="preserve"> </v>
      </c>
      <c r="I149" s="4" t="str">
        <f>IF(ISBLANK(A149)," ",VLOOKUP((A149),SONUC!$A$2:$L$10000,8,FALSE))</f>
        <v xml:space="preserve"> </v>
      </c>
      <c r="J149" s="4" t="str">
        <f>IF(ISBLANK(A149)," ",VLOOKUP((A149),SONUC!$A$2:$L$10000,9,FALSE))</f>
        <v xml:space="preserve"> </v>
      </c>
      <c r="K149" s="4" t="str">
        <f>IF(ISBLANK(A149)," ",VLOOKUP((A149),SONUC!$A$2:$L$10000,10,FALSE))</f>
        <v xml:space="preserve"> </v>
      </c>
      <c r="L149" s="4" t="str">
        <f>IF(ISBLANK(A149)," ",VLOOKUP((A149),SONUC!$A$2:$L$10000,11,FALSE))</f>
        <v xml:space="preserve"> </v>
      </c>
      <c r="M149" s="4" t="str">
        <f>IF(ISBLANK(A149)," ",VLOOKUP((A149),SONUC!$A$2:$L$10000,12,FALSE))</f>
        <v xml:space="preserve"> </v>
      </c>
    </row>
    <row r="150" spans="2:13" x14ac:dyDescent="0.25">
      <c r="B150" s="4">
        <v>149</v>
      </c>
      <c r="C150" s="4" t="str">
        <f>IF(ISBLANK(A150)," ",VLOOKUP((A150),SONUC!$A$2:$L$10000,2,FALSE))</f>
        <v xml:space="preserve"> </v>
      </c>
      <c r="D150" s="4" t="str">
        <f>IF(ISBLANK(A150)," ",VLOOKUP((A150),SONUC!$A$2:$L$10000,3,FALSE))</f>
        <v xml:space="preserve"> </v>
      </c>
      <c r="E150" s="4" t="str">
        <f>IF(ISBLANK(A150)," ",VLOOKUP((A150),SONUC!$A$2:$L$10000,4,FALSE))</f>
        <v xml:space="preserve"> </v>
      </c>
      <c r="F150" s="4" t="str">
        <f>IF(ISBLANK(A150)," ",VLOOKUP((A150),SONUC!$A$2:$L$10000,5,FALSE))</f>
        <v xml:space="preserve"> </v>
      </c>
      <c r="G150" s="4" t="str">
        <f>IF(ISBLANK(A150)," ",VLOOKUP((A150),SONUC!$A$2:$L$10000,6,FALSE))</f>
        <v xml:space="preserve"> </v>
      </c>
      <c r="H150" s="4" t="str">
        <f>IF(ISBLANK(A150)," ",VLOOKUP((A150),SONUC!$A$2:$L$10000,7,FALSE))</f>
        <v xml:space="preserve"> </v>
      </c>
      <c r="I150" s="4" t="str">
        <f>IF(ISBLANK(A150)," ",VLOOKUP((A150),SONUC!$A$2:$L$10000,8,FALSE))</f>
        <v xml:space="preserve"> </v>
      </c>
      <c r="J150" s="4" t="str">
        <f>IF(ISBLANK(A150)," ",VLOOKUP((A150),SONUC!$A$2:$L$10000,9,FALSE))</f>
        <v xml:space="preserve"> </v>
      </c>
      <c r="K150" s="4" t="str">
        <f>IF(ISBLANK(A150)," ",VLOOKUP((A150),SONUC!$A$2:$L$10000,10,FALSE))</f>
        <v xml:space="preserve"> </v>
      </c>
      <c r="L150" s="4" t="str">
        <f>IF(ISBLANK(A150)," ",VLOOKUP((A150),SONUC!$A$2:$L$10000,11,FALSE))</f>
        <v xml:space="preserve"> </v>
      </c>
      <c r="M150" s="4" t="str">
        <f>IF(ISBLANK(A150)," ",VLOOKUP((A150),SONUC!$A$2:$L$10000,12,FALSE))</f>
        <v xml:space="preserve"> </v>
      </c>
    </row>
    <row r="151" spans="2:13" x14ac:dyDescent="0.25">
      <c r="B151" s="4">
        <v>150</v>
      </c>
      <c r="C151" s="4" t="str">
        <f>IF(ISBLANK(A151)," ",VLOOKUP((A151),SONUC!$A$2:$L$10000,2,FALSE))</f>
        <v xml:space="preserve"> </v>
      </c>
      <c r="D151" s="4" t="str">
        <f>IF(ISBLANK(A151)," ",VLOOKUP((A151),SONUC!$A$2:$L$10000,3,FALSE))</f>
        <v xml:space="preserve"> </v>
      </c>
      <c r="E151" s="4" t="str">
        <f>IF(ISBLANK(A151)," ",VLOOKUP((A151),SONUC!$A$2:$L$10000,4,FALSE))</f>
        <v xml:space="preserve"> </v>
      </c>
      <c r="F151" s="4" t="str">
        <f>IF(ISBLANK(A151)," ",VLOOKUP((A151),SONUC!$A$2:$L$10000,5,FALSE))</f>
        <v xml:space="preserve"> </v>
      </c>
      <c r="G151" s="4" t="str">
        <f>IF(ISBLANK(A151)," ",VLOOKUP((A151),SONUC!$A$2:$L$10000,6,FALSE))</f>
        <v xml:space="preserve"> </v>
      </c>
      <c r="H151" s="4" t="str">
        <f>IF(ISBLANK(A151)," ",VLOOKUP((A151),SONUC!$A$2:$L$10000,7,FALSE))</f>
        <v xml:space="preserve"> </v>
      </c>
      <c r="I151" s="4" t="str">
        <f>IF(ISBLANK(A151)," ",VLOOKUP((A151),SONUC!$A$2:$L$10000,8,FALSE))</f>
        <v xml:space="preserve"> </v>
      </c>
      <c r="J151" s="4" t="str">
        <f>IF(ISBLANK(A151)," ",VLOOKUP((A151),SONUC!$A$2:$L$10000,9,FALSE))</f>
        <v xml:space="preserve"> </v>
      </c>
      <c r="K151" s="4" t="str">
        <f>IF(ISBLANK(A151)," ",VLOOKUP((A151),SONUC!$A$2:$L$10000,10,FALSE))</f>
        <v xml:space="preserve"> </v>
      </c>
      <c r="L151" s="4" t="str">
        <f>IF(ISBLANK(A151)," ",VLOOKUP((A151),SONUC!$A$2:$L$10000,11,FALSE))</f>
        <v xml:space="preserve"> </v>
      </c>
      <c r="M151" s="4" t="str">
        <f>IF(ISBLANK(A151)," ",VLOOKUP((A151),SONUC!$A$2:$L$10000,12,FALSE))</f>
        <v xml:space="preserve"> </v>
      </c>
    </row>
    <row r="152" spans="2:13" x14ac:dyDescent="0.25">
      <c r="B152" s="4">
        <v>151</v>
      </c>
      <c r="C152" s="4" t="str">
        <f>IF(ISBLANK(A152)," ",VLOOKUP((A152),SONUC!$A$2:$L$10000,2,FALSE))</f>
        <v xml:space="preserve"> </v>
      </c>
      <c r="D152" s="4" t="str">
        <f>IF(ISBLANK(A152)," ",VLOOKUP((A152),SONUC!$A$2:$L$10000,3,FALSE))</f>
        <v xml:space="preserve"> </v>
      </c>
      <c r="E152" s="4" t="str">
        <f>IF(ISBLANK(A152)," ",VLOOKUP((A152),SONUC!$A$2:$L$10000,4,FALSE))</f>
        <v xml:space="preserve"> </v>
      </c>
      <c r="F152" s="4" t="str">
        <f>IF(ISBLANK(A152)," ",VLOOKUP((A152),SONUC!$A$2:$L$10000,5,FALSE))</f>
        <v xml:space="preserve"> </v>
      </c>
      <c r="G152" s="4" t="str">
        <f>IF(ISBLANK(A152)," ",VLOOKUP((A152),SONUC!$A$2:$L$10000,6,FALSE))</f>
        <v xml:space="preserve"> </v>
      </c>
      <c r="H152" s="4" t="str">
        <f>IF(ISBLANK(A152)," ",VLOOKUP((A152),SONUC!$A$2:$L$10000,7,FALSE))</f>
        <v xml:space="preserve"> </v>
      </c>
      <c r="I152" s="4" t="str">
        <f>IF(ISBLANK(A152)," ",VLOOKUP((A152),SONUC!$A$2:$L$10000,8,FALSE))</f>
        <v xml:space="preserve"> </v>
      </c>
      <c r="J152" s="4" t="str">
        <f>IF(ISBLANK(A152)," ",VLOOKUP((A152),SONUC!$A$2:$L$10000,9,FALSE))</f>
        <v xml:space="preserve"> </v>
      </c>
      <c r="K152" s="4" t="str">
        <f>IF(ISBLANK(A152)," ",VLOOKUP((A152),SONUC!$A$2:$L$10000,10,FALSE))</f>
        <v xml:space="preserve"> </v>
      </c>
      <c r="L152" s="4" t="str">
        <f>IF(ISBLANK(A152)," ",VLOOKUP((A152),SONUC!$A$2:$L$10000,11,FALSE))</f>
        <v xml:space="preserve"> </v>
      </c>
      <c r="M152" s="4" t="str">
        <f>IF(ISBLANK(A152)," ",VLOOKUP((A152),SONUC!$A$2:$L$10000,12,FALSE))</f>
        <v xml:space="preserve"> </v>
      </c>
    </row>
    <row r="153" spans="2:13" x14ac:dyDescent="0.25">
      <c r="B153" s="4">
        <v>152</v>
      </c>
      <c r="C153" s="4" t="str">
        <f>IF(ISBLANK(A153)," ",VLOOKUP((A153),SONUC!$A$2:$L$10000,2,FALSE))</f>
        <v xml:space="preserve"> </v>
      </c>
      <c r="D153" s="4" t="str">
        <f>IF(ISBLANK(A153)," ",VLOOKUP((A153),SONUC!$A$2:$L$10000,3,FALSE))</f>
        <v xml:space="preserve"> </v>
      </c>
      <c r="E153" s="4" t="str">
        <f>IF(ISBLANK(A153)," ",VLOOKUP((A153),SONUC!$A$2:$L$10000,4,FALSE))</f>
        <v xml:space="preserve"> </v>
      </c>
      <c r="F153" s="4" t="str">
        <f>IF(ISBLANK(A153)," ",VLOOKUP((A153),SONUC!$A$2:$L$10000,5,FALSE))</f>
        <v xml:space="preserve"> </v>
      </c>
      <c r="G153" s="4" t="str">
        <f>IF(ISBLANK(A153)," ",VLOOKUP((A153),SONUC!$A$2:$L$10000,6,FALSE))</f>
        <v xml:space="preserve"> </v>
      </c>
      <c r="H153" s="4" t="str">
        <f>IF(ISBLANK(A153)," ",VLOOKUP((A153),SONUC!$A$2:$L$10000,7,FALSE))</f>
        <v xml:space="preserve"> </v>
      </c>
      <c r="I153" s="4" t="str">
        <f>IF(ISBLANK(A153)," ",VLOOKUP((A153),SONUC!$A$2:$L$10000,8,FALSE))</f>
        <v xml:space="preserve"> </v>
      </c>
      <c r="J153" s="4" t="str">
        <f>IF(ISBLANK(A153)," ",VLOOKUP((A153),SONUC!$A$2:$L$10000,9,FALSE))</f>
        <v xml:space="preserve"> </v>
      </c>
      <c r="K153" s="4" t="str">
        <f>IF(ISBLANK(A153)," ",VLOOKUP((A153),SONUC!$A$2:$L$10000,10,FALSE))</f>
        <v xml:space="preserve"> </v>
      </c>
      <c r="L153" s="4" t="str">
        <f>IF(ISBLANK(A153)," ",VLOOKUP((A153),SONUC!$A$2:$L$10000,11,FALSE))</f>
        <v xml:space="preserve"> </v>
      </c>
      <c r="M153" s="4" t="str">
        <f>IF(ISBLANK(A153)," ",VLOOKUP((A153),SONUC!$A$2:$L$10000,12,FALSE))</f>
        <v xml:space="preserve"> </v>
      </c>
    </row>
    <row r="154" spans="2:13" x14ac:dyDescent="0.25">
      <c r="B154" s="4">
        <v>153</v>
      </c>
      <c r="C154" s="4" t="str">
        <f>IF(ISBLANK(A154)," ",VLOOKUP((A154),SONUC!$A$2:$L$10000,2,FALSE))</f>
        <v xml:space="preserve"> </v>
      </c>
      <c r="D154" s="4" t="str">
        <f>IF(ISBLANK(A154)," ",VLOOKUP((A154),SONUC!$A$2:$L$10000,3,FALSE))</f>
        <v xml:space="preserve"> </v>
      </c>
      <c r="E154" s="4" t="str">
        <f>IF(ISBLANK(A154)," ",VLOOKUP((A154),SONUC!$A$2:$L$10000,4,FALSE))</f>
        <v xml:space="preserve"> </v>
      </c>
      <c r="F154" s="4" t="str">
        <f>IF(ISBLANK(A154)," ",VLOOKUP((A154),SONUC!$A$2:$L$10000,5,FALSE))</f>
        <v xml:space="preserve"> </v>
      </c>
      <c r="G154" s="4" t="str">
        <f>IF(ISBLANK(A154)," ",VLOOKUP((A154),SONUC!$A$2:$L$10000,6,FALSE))</f>
        <v xml:space="preserve"> </v>
      </c>
      <c r="H154" s="4" t="str">
        <f>IF(ISBLANK(A154)," ",VLOOKUP((A154),SONUC!$A$2:$L$10000,7,FALSE))</f>
        <v xml:space="preserve"> </v>
      </c>
      <c r="I154" s="4" t="str">
        <f>IF(ISBLANK(A154)," ",VLOOKUP((A154),SONUC!$A$2:$L$10000,8,FALSE))</f>
        <v xml:space="preserve"> </v>
      </c>
      <c r="J154" s="4" t="str">
        <f>IF(ISBLANK(A154)," ",VLOOKUP((A154),SONUC!$A$2:$L$10000,9,FALSE))</f>
        <v xml:space="preserve"> </v>
      </c>
      <c r="K154" s="4" t="str">
        <f>IF(ISBLANK(A154)," ",VLOOKUP((A154),SONUC!$A$2:$L$10000,10,FALSE))</f>
        <v xml:space="preserve"> </v>
      </c>
      <c r="L154" s="4" t="str">
        <f>IF(ISBLANK(A154)," ",VLOOKUP((A154),SONUC!$A$2:$L$10000,11,FALSE))</f>
        <v xml:space="preserve"> </v>
      </c>
      <c r="M154" s="4" t="str">
        <f>IF(ISBLANK(A154)," ",VLOOKUP((A154),SONUC!$A$2:$L$10000,12,FALSE))</f>
        <v xml:space="preserve"> </v>
      </c>
    </row>
    <row r="155" spans="2:13" x14ac:dyDescent="0.25">
      <c r="B155" s="4">
        <v>154</v>
      </c>
      <c r="C155" s="4" t="str">
        <f>IF(ISBLANK(A155)," ",VLOOKUP((A155),SONUC!$A$2:$L$10000,2,FALSE))</f>
        <v xml:space="preserve"> </v>
      </c>
      <c r="D155" s="4" t="str">
        <f>IF(ISBLANK(A155)," ",VLOOKUP((A155),SONUC!$A$2:$L$10000,3,FALSE))</f>
        <v xml:space="preserve"> </v>
      </c>
      <c r="E155" s="4" t="str">
        <f>IF(ISBLANK(A155)," ",VLOOKUP((A155),SONUC!$A$2:$L$10000,4,FALSE))</f>
        <v xml:space="preserve"> </v>
      </c>
      <c r="F155" s="4" t="str">
        <f>IF(ISBLANK(A155)," ",VLOOKUP((A155),SONUC!$A$2:$L$10000,5,FALSE))</f>
        <v xml:space="preserve"> </v>
      </c>
      <c r="G155" s="4" t="str">
        <f>IF(ISBLANK(A155)," ",VLOOKUP((A155),SONUC!$A$2:$L$10000,6,FALSE))</f>
        <v xml:space="preserve"> </v>
      </c>
      <c r="H155" s="4" t="str">
        <f>IF(ISBLANK(A155)," ",VLOOKUP((A155),SONUC!$A$2:$L$10000,7,FALSE))</f>
        <v xml:space="preserve"> </v>
      </c>
      <c r="I155" s="4" t="str">
        <f>IF(ISBLANK(A155)," ",VLOOKUP((A155),SONUC!$A$2:$L$10000,8,FALSE))</f>
        <v xml:space="preserve"> </v>
      </c>
      <c r="J155" s="4" t="str">
        <f>IF(ISBLANK(A155)," ",VLOOKUP((A155),SONUC!$A$2:$L$10000,9,FALSE))</f>
        <v xml:space="preserve"> </v>
      </c>
      <c r="K155" s="4" t="str">
        <f>IF(ISBLANK(A155)," ",VLOOKUP((A155),SONUC!$A$2:$L$10000,10,FALSE))</f>
        <v xml:space="preserve"> </v>
      </c>
      <c r="L155" s="4" t="str">
        <f>IF(ISBLANK(A155)," ",VLOOKUP((A155),SONUC!$A$2:$L$10000,11,FALSE))</f>
        <v xml:space="preserve"> </v>
      </c>
      <c r="M155" s="4" t="str">
        <f>IF(ISBLANK(A155)," ",VLOOKUP((A155),SONUC!$A$2:$L$10000,12,FALSE))</f>
        <v xml:space="preserve"> </v>
      </c>
    </row>
    <row r="156" spans="2:13" x14ac:dyDescent="0.25">
      <c r="B156" s="4">
        <v>155</v>
      </c>
      <c r="C156" s="4" t="str">
        <f>IF(ISBLANK(A156)," ",VLOOKUP((A156),SONUC!$A$2:$L$10000,2,FALSE))</f>
        <v xml:space="preserve"> </v>
      </c>
      <c r="D156" s="4" t="str">
        <f>IF(ISBLANK(A156)," ",VLOOKUP((A156),SONUC!$A$2:$L$10000,3,FALSE))</f>
        <v xml:space="preserve"> </v>
      </c>
      <c r="E156" s="4" t="str">
        <f>IF(ISBLANK(A156)," ",VLOOKUP((A156),SONUC!$A$2:$L$10000,4,FALSE))</f>
        <v xml:space="preserve"> </v>
      </c>
      <c r="F156" s="4" t="str">
        <f>IF(ISBLANK(A156)," ",VLOOKUP((A156),SONUC!$A$2:$L$10000,5,FALSE))</f>
        <v xml:space="preserve"> </v>
      </c>
      <c r="G156" s="4" t="str">
        <f>IF(ISBLANK(A156)," ",VLOOKUP((A156),SONUC!$A$2:$L$10000,6,FALSE))</f>
        <v xml:space="preserve"> </v>
      </c>
      <c r="H156" s="4" t="str">
        <f>IF(ISBLANK(A156)," ",VLOOKUP((A156),SONUC!$A$2:$L$10000,7,FALSE))</f>
        <v xml:space="preserve"> </v>
      </c>
      <c r="I156" s="4" t="str">
        <f>IF(ISBLANK(A156)," ",VLOOKUP((A156),SONUC!$A$2:$L$10000,8,FALSE))</f>
        <v xml:space="preserve"> </v>
      </c>
      <c r="J156" s="4" t="str">
        <f>IF(ISBLANK(A156)," ",VLOOKUP((A156),SONUC!$A$2:$L$10000,9,FALSE))</f>
        <v xml:space="preserve"> </v>
      </c>
      <c r="K156" s="4" t="str">
        <f>IF(ISBLANK(A156)," ",VLOOKUP((A156),SONUC!$A$2:$L$10000,10,FALSE))</f>
        <v xml:space="preserve"> </v>
      </c>
      <c r="L156" s="4" t="str">
        <f>IF(ISBLANK(A156)," ",VLOOKUP((A156),SONUC!$A$2:$L$10000,11,FALSE))</f>
        <v xml:space="preserve"> </v>
      </c>
      <c r="M156" s="4" t="str">
        <f>IF(ISBLANK(A156)," ",VLOOKUP((A156),SONUC!$A$2:$L$10000,12,FALSE))</f>
        <v xml:space="preserve"> </v>
      </c>
    </row>
    <row r="157" spans="2:13" x14ac:dyDescent="0.25">
      <c r="B157" s="4">
        <v>156</v>
      </c>
      <c r="C157" s="4" t="str">
        <f>IF(ISBLANK(A157)," ",VLOOKUP((A157),SONUC!$A$2:$L$10000,2,FALSE))</f>
        <v xml:space="preserve"> </v>
      </c>
      <c r="D157" s="4" t="str">
        <f>IF(ISBLANK(A157)," ",VLOOKUP((A157),SONUC!$A$2:$L$10000,3,FALSE))</f>
        <v xml:space="preserve"> </v>
      </c>
      <c r="E157" s="4" t="str">
        <f>IF(ISBLANK(A157)," ",VLOOKUP((A157),SONUC!$A$2:$L$10000,4,FALSE))</f>
        <v xml:space="preserve"> </v>
      </c>
      <c r="F157" s="4" t="str">
        <f>IF(ISBLANK(A157)," ",VLOOKUP((A157),SONUC!$A$2:$L$10000,5,FALSE))</f>
        <v xml:space="preserve"> </v>
      </c>
      <c r="G157" s="4" t="str">
        <f>IF(ISBLANK(A157)," ",VLOOKUP((A157),SONUC!$A$2:$L$10000,6,FALSE))</f>
        <v xml:space="preserve"> </v>
      </c>
      <c r="H157" s="4" t="str">
        <f>IF(ISBLANK(A157)," ",VLOOKUP((A157),SONUC!$A$2:$L$10000,7,FALSE))</f>
        <v xml:space="preserve"> </v>
      </c>
      <c r="I157" s="4" t="str">
        <f>IF(ISBLANK(A157)," ",VLOOKUP((A157),SONUC!$A$2:$L$10000,8,FALSE))</f>
        <v xml:space="preserve"> </v>
      </c>
      <c r="J157" s="4" t="str">
        <f>IF(ISBLANK(A157)," ",VLOOKUP((A157),SONUC!$A$2:$L$10000,9,FALSE))</f>
        <v xml:space="preserve"> </v>
      </c>
      <c r="K157" s="4" t="str">
        <f>IF(ISBLANK(A157)," ",VLOOKUP((A157),SONUC!$A$2:$L$10000,10,FALSE))</f>
        <v xml:space="preserve"> </v>
      </c>
      <c r="L157" s="4" t="str">
        <f>IF(ISBLANK(A157)," ",VLOOKUP((A157),SONUC!$A$2:$L$10000,11,FALSE))</f>
        <v xml:space="preserve"> </v>
      </c>
      <c r="M157" s="4" t="str">
        <f>IF(ISBLANK(A157)," ",VLOOKUP((A157),SONUC!$A$2:$L$10000,12,FALSE))</f>
        <v xml:space="preserve"> </v>
      </c>
    </row>
    <row r="158" spans="2:13" x14ac:dyDescent="0.25">
      <c r="B158" s="4">
        <v>157</v>
      </c>
      <c r="C158" s="4" t="str">
        <f>IF(ISBLANK(A158)," ",VLOOKUP((A158),SONUC!$A$2:$L$10000,2,FALSE))</f>
        <v xml:space="preserve"> </v>
      </c>
      <c r="D158" s="4" t="str">
        <f>IF(ISBLANK(A158)," ",VLOOKUP((A158),SONUC!$A$2:$L$10000,3,FALSE))</f>
        <v xml:space="preserve"> </v>
      </c>
      <c r="E158" s="4" t="str">
        <f>IF(ISBLANK(A158)," ",VLOOKUP((A158),SONUC!$A$2:$L$10000,4,FALSE))</f>
        <v xml:space="preserve"> </v>
      </c>
      <c r="F158" s="4" t="str">
        <f>IF(ISBLANK(A158)," ",VLOOKUP((A158),SONUC!$A$2:$L$10000,5,FALSE))</f>
        <v xml:space="preserve"> </v>
      </c>
      <c r="G158" s="4" t="str">
        <f>IF(ISBLANK(A158)," ",VLOOKUP((A158),SONUC!$A$2:$L$10000,6,FALSE))</f>
        <v xml:space="preserve"> </v>
      </c>
      <c r="H158" s="4" t="str">
        <f>IF(ISBLANK(A158)," ",VLOOKUP((A158),SONUC!$A$2:$L$10000,7,FALSE))</f>
        <v xml:space="preserve"> </v>
      </c>
      <c r="I158" s="4" t="str">
        <f>IF(ISBLANK(A158)," ",VLOOKUP((A158),SONUC!$A$2:$L$10000,8,FALSE))</f>
        <v xml:space="preserve"> </v>
      </c>
      <c r="J158" s="4" t="str">
        <f>IF(ISBLANK(A158)," ",VLOOKUP((A158),SONUC!$A$2:$L$10000,9,FALSE))</f>
        <v xml:space="preserve"> </v>
      </c>
      <c r="K158" s="4" t="str">
        <f>IF(ISBLANK(A158)," ",VLOOKUP((A158),SONUC!$A$2:$L$10000,10,FALSE))</f>
        <v xml:space="preserve"> </v>
      </c>
      <c r="L158" s="4" t="str">
        <f>IF(ISBLANK(A158)," ",VLOOKUP((A158),SONUC!$A$2:$L$10000,11,FALSE))</f>
        <v xml:space="preserve"> </v>
      </c>
      <c r="M158" s="4" t="str">
        <f>IF(ISBLANK(A158)," ",VLOOKUP((A158),SONUC!$A$2:$L$10000,12,FALSE))</f>
        <v xml:space="preserve"> </v>
      </c>
    </row>
    <row r="159" spans="2:13" x14ac:dyDescent="0.25">
      <c r="B159" s="4">
        <v>158</v>
      </c>
      <c r="C159" s="4" t="str">
        <f>IF(ISBLANK(A159)," ",VLOOKUP((A159),SONUC!$A$2:$L$10000,2,FALSE))</f>
        <v xml:space="preserve"> </v>
      </c>
      <c r="D159" s="4" t="str">
        <f>IF(ISBLANK(A159)," ",VLOOKUP((A159),SONUC!$A$2:$L$10000,3,FALSE))</f>
        <v xml:space="preserve"> </v>
      </c>
      <c r="E159" s="4" t="str">
        <f>IF(ISBLANK(A159)," ",VLOOKUP((A159),SONUC!$A$2:$L$10000,4,FALSE))</f>
        <v xml:space="preserve"> </v>
      </c>
      <c r="F159" s="4" t="str">
        <f>IF(ISBLANK(A159)," ",VLOOKUP((A159),SONUC!$A$2:$L$10000,5,FALSE))</f>
        <v xml:space="preserve"> </v>
      </c>
      <c r="G159" s="4" t="str">
        <f>IF(ISBLANK(A159)," ",VLOOKUP((A159),SONUC!$A$2:$L$10000,6,FALSE))</f>
        <v xml:space="preserve"> </v>
      </c>
      <c r="H159" s="4" t="str">
        <f>IF(ISBLANK(A159)," ",VLOOKUP((A159),SONUC!$A$2:$L$10000,7,FALSE))</f>
        <v xml:space="preserve"> </v>
      </c>
      <c r="I159" s="4" t="str">
        <f>IF(ISBLANK(A159)," ",VLOOKUP((A159),SONUC!$A$2:$L$10000,8,FALSE))</f>
        <v xml:space="preserve"> </v>
      </c>
      <c r="J159" s="4" t="str">
        <f>IF(ISBLANK(A159)," ",VLOOKUP((A159),SONUC!$A$2:$L$10000,9,FALSE))</f>
        <v xml:space="preserve"> </v>
      </c>
      <c r="K159" s="4" t="str">
        <f>IF(ISBLANK(A159)," ",VLOOKUP((A159),SONUC!$A$2:$L$10000,10,FALSE))</f>
        <v xml:space="preserve"> </v>
      </c>
      <c r="L159" s="4" t="str">
        <f>IF(ISBLANK(A159)," ",VLOOKUP((A159),SONUC!$A$2:$L$10000,11,FALSE))</f>
        <v xml:space="preserve"> </v>
      </c>
      <c r="M159" s="4" t="str">
        <f>IF(ISBLANK(A159)," ",VLOOKUP((A159),SONUC!$A$2:$L$10000,12,FALSE))</f>
        <v xml:space="preserve"> </v>
      </c>
    </row>
    <row r="160" spans="2:13" x14ac:dyDescent="0.25">
      <c r="B160" s="4">
        <v>159</v>
      </c>
      <c r="C160" s="4" t="str">
        <f>IF(ISBLANK(A160)," ",VLOOKUP((A160),SONUC!$A$2:$L$10000,2,FALSE))</f>
        <v xml:space="preserve"> </v>
      </c>
      <c r="D160" s="4" t="str">
        <f>IF(ISBLANK(A160)," ",VLOOKUP((A160),SONUC!$A$2:$L$10000,3,FALSE))</f>
        <v xml:space="preserve"> </v>
      </c>
      <c r="E160" s="4" t="str">
        <f>IF(ISBLANK(A160)," ",VLOOKUP((A160),SONUC!$A$2:$L$10000,4,FALSE))</f>
        <v xml:space="preserve"> </v>
      </c>
      <c r="F160" s="4" t="str">
        <f>IF(ISBLANK(A160)," ",VLOOKUP((A160),SONUC!$A$2:$L$10000,5,FALSE))</f>
        <v xml:space="preserve"> </v>
      </c>
      <c r="G160" s="4" t="str">
        <f>IF(ISBLANK(A160)," ",VLOOKUP((A160),SONUC!$A$2:$L$10000,6,FALSE))</f>
        <v xml:space="preserve"> </v>
      </c>
      <c r="H160" s="4" t="str">
        <f>IF(ISBLANK(A160)," ",VLOOKUP((A160),SONUC!$A$2:$L$10000,7,FALSE))</f>
        <v xml:space="preserve"> </v>
      </c>
      <c r="I160" s="4" t="str">
        <f>IF(ISBLANK(A160)," ",VLOOKUP((A160),SONUC!$A$2:$L$10000,8,FALSE))</f>
        <v xml:space="preserve"> </v>
      </c>
      <c r="J160" s="4" t="str">
        <f>IF(ISBLANK(A160)," ",VLOOKUP((A160),SONUC!$A$2:$L$10000,9,FALSE))</f>
        <v xml:space="preserve"> </v>
      </c>
      <c r="K160" s="4" t="str">
        <f>IF(ISBLANK(A160)," ",VLOOKUP((A160),SONUC!$A$2:$L$10000,10,FALSE))</f>
        <v xml:space="preserve"> </v>
      </c>
      <c r="L160" s="4" t="str">
        <f>IF(ISBLANK(A160)," ",VLOOKUP((A160),SONUC!$A$2:$L$10000,11,FALSE))</f>
        <v xml:space="preserve"> </v>
      </c>
      <c r="M160" s="4" t="str">
        <f>IF(ISBLANK(A160)," ",VLOOKUP((A160),SONUC!$A$2:$L$10000,12,FALSE))</f>
        <v xml:space="preserve"> </v>
      </c>
    </row>
    <row r="161" spans="2:13" x14ac:dyDescent="0.25">
      <c r="B161" s="4">
        <v>160</v>
      </c>
      <c r="C161" s="4" t="str">
        <f>IF(ISBLANK(A161)," ",VLOOKUP((A161),SONUC!$A$2:$L$10000,2,FALSE))</f>
        <v xml:space="preserve"> </v>
      </c>
      <c r="D161" s="4" t="str">
        <f>IF(ISBLANK(A161)," ",VLOOKUP((A161),SONUC!$A$2:$L$10000,3,FALSE))</f>
        <v xml:space="preserve"> </v>
      </c>
      <c r="E161" s="4" t="str">
        <f>IF(ISBLANK(A161)," ",VLOOKUP((A161),SONUC!$A$2:$L$10000,4,FALSE))</f>
        <v xml:space="preserve"> </v>
      </c>
      <c r="F161" s="4" t="str">
        <f>IF(ISBLANK(A161)," ",VLOOKUP((A161),SONUC!$A$2:$L$10000,5,FALSE))</f>
        <v xml:space="preserve"> </v>
      </c>
      <c r="G161" s="4" t="str">
        <f>IF(ISBLANK(A161)," ",VLOOKUP((A161),SONUC!$A$2:$L$10000,6,FALSE))</f>
        <v xml:space="preserve"> </v>
      </c>
      <c r="H161" s="4" t="str">
        <f>IF(ISBLANK(A161)," ",VLOOKUP((A161),SONUC!$A$2:$L$10000,7,FALSE))</f>
        <v xml:space="preserve"> </v>
      </c>
      <c r="I161" s="4" t="str">
        <f>IF(ISBLANK(A161)," ",VLOOKUP((A161),SONUC!$A$2:$L$10000,8,FALSE))</f>
        <v xml:space="preserve"> </v>
      </c>
      <c r="J161" s="4" t="str">
        <f>IF(ISBLANK(A161)," ",VLOOKUP((A161),SONUC!$A$2:$L$10000,9,FALSE))</f>
        <v xml:space="preserve"> </v>
      </c>
      <c r="K161" s="4" t="str">
        <f>IF(ISBLANK(A161)," ",VLOOKUP((A161),SONUC!$A$2:$L$10000,10,FALSE))</f>
        <v xml:space="preserve"> </v>
      </c>
      <c r="L161" s="4" t="str">
        <f>IF(ISBLANK(A161)," ",VLOOKUP((A161),SONUC!$A$2:$L$10000,11,FALSE))</f>
        <v xml:space="preserve"> </v>
      </c>
      <c r="M161" s="4" t="str">
        <f>IF(ISBLANK(A161)," ",VLOOKUP((A161),SONUC!$A$2:$L$10000,12,FALSE))</f>
        <v xml:space="preserve"> </v>
      </c>
    </row>
    <row r="162" spans="2:13" x14ac:dyDescent="0.25">
      <c r="B162" s="4">
        <v>161</v>
      </c>
      <c r="C162" s="4" t="str">
        <f>IF(ISBLANK(A162)," ",VLOOKUP((A162),SONUC!$A$2:$L$10000,2,FALSE))</f>
        <v xml:space="preserve"> </v>
      </c>
      <c r="D162" s="4" t="str">
        <f>IF(ISBLANK(A162)," ",VLOOKUP((A162),SONUC!$A$2:$L$10000,3,FALSE))</f>
        <v xml:space="preserve"> </v>
      </c>
      <c r="E162" s="4" t="str">
        <f>IF(ISBLANK(A162)," ",VLOOKUP((A162),SONUC!$A$2:$L$10000,4,FALSE))</f>
        <v xml:space="preserve"> </v>
      </c>
      <c r="F162" s="4" t="str">
        <f>IF(ISBLANK(A162)," ",VLOOKUP((A162),SONUC!$A$2:$L$10000,5,FALSE))</f>
        <v xml:space="preserve"> </v>
      </c>
      <c r="G162" s="4" t="str">
        <f>IF(ISBLANK(A162)," ",VLOOKUP((A162),SONUC!$A$2:$L$10000,6,FALSE))</f>
        <v xml:space="preserve"> </v>
      </c>
      <c r="H162" s="4" t="str">
        <f>IF(ISBLANK(A162)," ",VLOOKUP((A162),SONUC!$A$2:$L$10000,7,FALSE))</f>
        <v xml:space="preserve"> </v>
      </c>
      <c r="I162" s="4" t="str">
        <f>IF(ISBLANK(A162)," ",VLOOKUP((A162),SONUC!$A$2:$L$10000,8,FALSE))</f>
        <v xml:space="preserve"> </v>
      </c>
      <c r="J162" s="4" t="str">
        <f>IF(ISBLANK(A162)," ",VLOOKUP((A162),SONUC!$A$2:$L$10000,9,FALSE))</f>
        <v xml:space="preserve"> </v>
      </c>
      <c r="K162" s="4" t="str">
        <f>IF(ISBLANK(A162)," ",VLOOKUP((A162),SONUC!$A$2:$L$10000,10,FALSE))</f>
        <v xml:space="preserve"> </v>
      </c>
      <c r="L162" s="4" t="str">
        <f>IF(ISBLANK(A162)," ",VLOOKUP((A162),SONUC!$A$2:$L$10000,11,FALSE))</f>
        <v xml:space="preserve"> </v>
      </c>
      <c r="M162" s="4" t="str">
        <f>IF(ISBLANK(A162)," ",VLOOKUP((A162),SONUC!$A$2:$L$10000,12,FALSE))</f>
        <v xml:space="preserve"> </v>
      </c>
    </row>
    <row r="163" spans="2:13" x14ac:dyDescent="0.25">
      <c r="B163" s="4">
        <v>162</v>
      </c>
      <c r="C163" s="4" t="str">
        <f>IF(ISBLANK(A163)," ",VLOOKUP((A163),SONUC!$A$2:$L$10000,2,FALSE))</f>
        <v xml:space="preserve"> </v>
      </c>
      <c r="D163" s="4" t="str">
        <f>IF(ISBLANK(A163)," ",VLOOKUP((A163),SONUC!$A$2:$L$10000,3,FALSE))</f>
        <v xml:space="preserve"> </v>
      </c>
      <c r="E163" s="4" t="str">
        <f>IF(ISBLANK(A163)," ",VLOOKUP((A163),SONUC!$A$2:$L$10000,4,FALSE))</f>
        <v xml:space="preserve"> </v>
      </c>
      <c r="F163" s="4" t="str">
        <f>IF(ISBLANK(A163)," ",VLOOKUP((A163),SONUC!$A$2:$L$10000,5,FALSE))</f>
        <v xml:space="preserve"> </v>
      </c>
      <c r="G163" s="4" t="str">
        <f>IF(ISBLANK(A163)," ",VLOOKUP((A163),SONUC!$A$2:$L$10000,6,FALSE))</f>
        <v xml:space="preserve"> </v>
      </c>
      <c r="H163" s="4" t="str">
        <f>IF(ISBLANK(A163)," ",VLOOKUP((A163),SONUC!$A$2:$L$10000,7,FALSE))</f>
        <v xml:space="preserve"> </v>
      </c>
      <c r="I163" s="4" t="str">
        <f>IF(ISBLANK(A163)," ",VLOOKUP((A163),SONUC!$A$2:$L$10000,8,FALSE))</f>
        <v xml:space="preserve"> </v>
      </c>
      <c r="J163" s="4" t="str">
        <f>IF(ISBLANK(A163)," ",VLOOKUP((A163),SONUC!$A$2:$L$10000,9,FALSE))</f>
        <v xml:space="preserve"> </v>
      </c>
      <c r="K163" s="4" t="str">
        <f>IF(ISBLANK(A163)," ",VLOOKUP((A163),SONUC!$A$2:$L$10000,10,FALSE))</f>
        <v xml:space="preserve"> </v>
      </c>
      <c r="L163" s="4" t="str">
        <f>IF(ISBLANK(A163)," ",VLOOKUP((A163),SONUC!$A$2:$L$10000,11,FALSE))</f>
        <v xml:space="preserve"> </v>
      </c>
      <c r="M163" s="4" t="str">
        <f>IF(ISBLANK(A163)," ",VLOOKUP((A163),SONUC!$A$2:$L$10000,12,FALSE))</f>
        <v xml:space="preserve"> </v>
      </c>
    </row>
    <row r="164" spans="2:13" x14ac:dyDescent="0.25">
      <c r="B164" s="4">
        <v>163</v>
      </c>
      <c r="C164" s="4" t="str">
        <f>IF(ISBLANK(A164)," ",VLOOKUP((A164),SONUC!$A$2:$L$10000,2,FALSE))</f>
        <v xml:space="preserve"> </v>
      </c>
      <c r="D164" s="4" t="str">
        <f>IF(ISBLANK(A164)," ",VLOOKUP((A164),SONUC!$A$2:$L$10000,3,FALSE))</f>
        <v xml:space="preserve"> </v>
      </c>
      <c r="E164" s="4" t="str">
        <f>IF(ISBLANK(A164)," ",VLOOKUP((A164),SONUC!$A$2:$L$10000,4,FALSE))</f>
        <v xml:space="preserve"> </v>
      </c>
      <c r="F164" s="4" t="str">
        <f>IF(ISBLANK(A164)," ",VLOOKUP((A164),SONUC!$A$2:$L$10000,5,FALSE))</f>
        <v xml:space="preserve"> </v>
      </c>
      <c r="G164" s="4" t="str">
        <f>IF(ISBLANK(A164)," ",VLOOKUP((A164),SONUC!$A$2:$L$10000,6,FALSE))</f>
        <v xml:space="preserve"> </v>
      </c>
      <c r="H164" s="4" t="str">
        <f>IF(ISBLANK(A164)," ",VLOOKUP((A164),SONUC!$A$2:$L$10000,7,FALSE))</f>
        <v xml:space="preserve"> </v>
      </c>
      <c r="I164" s="4" t="str">
        <f>IF(ISBLANK(A164)," ",VLOOKUP((A164),SONUC!$A$2:$L$10000,8,FALSE))</f>
        <v xml:space="preserve"> </v>
      </c>
      <c r="J164" s="4" t="str">
        <f>IF(ISBLANK(A164)," ",VLOOKUP((A164),SONUC!$A$2:$L$10000,9,FALSE))</f>
        <v xml:space="preserve"> </v>
      </c>
      <c r="K164" s="4" t="str">
        <f>IF(ISBLANK(A164)," ",VLOOKUP((A164),SONUC!$A$2:$L$10000,10,FALSE))</f>
        <v xml:space="preserve"> </v>
      </c>
      <c r="L164" s="4" t="str">
        <f>IF(ISBLANK(A164)," ",VLOOKUP((A164),SONUC!$A$2:$L$10000,11,FALSE))</f>
        <v xml:space="preserve"> </v>
      </c>
      <c r="M164" s="4" t="str">
        <f>IF(ISBLANK(A164)," ",VLOOKUP((A164),SONUC!$A$2:$L$10000,12,FALSE))</f>
        <v xml:space="preserve"> </v>
      </c>
    </row>
    <row r="165" spans="2:13" x14ac:dyDescent="0.25">
      <c r="B165" s="4">
        <v>164</v>
      </c>
      <c r="C165" s="4" t="str">
        <f>IF(ISBLANK(A165)," ",VLOOKUP((A165),SONUC!$A$2:$L$10000,2,FALSE))</f>
        <v xml:space="preserve"> </v>
      </c>
      <c r="D165" s="4" t="str">
        <f>IF(ISBLANK(A165)," ",VLOOKUP((A165),SONUC!$A$2:$L$10000,3,FALSE))</f>
        <v xml:space="preserve"> </v>
      </c>
      <c r="E165" s="4" t="str">
        <f>IF(ISBLANK(A165)," ",VLOOKUP((A165),SONUC!$A$2:$L$10000,4,FALSE))</f>
        <v xml:space="preserve"> </v>
      </c>
      <c r="F165" s="4" t="str">
        <f>IF(ISBLANK(A165)," ",VLOOKUP((A165),SONUC!$A$2:$L$10000,5,FALSE))</f>
        <v xml:space="preserve"> </v>
      </c>
      <c r="G165" s="4" t="str">
        <f>IF(ISBLANK(A165)," ",VLOOKUP((A165),SONUC!$A$2:$L$10000,6,FALSE))</f>
        <v xml:space="preserve"> </v>
      </c>
      <c r="H165" s="4" t="str">
        <f>IF(ISBLANK(A165)," ",VLOOKUP((A165),SONUC!$A$2:$L$10000,7,FALSE))</f>
        <v xml:space="preserve"> </v>
      </c>
      <c r="I165" s="4" t="str">
        <f>IF(ISBLANK(A165)," ",VLOOKUP((A165),SONUC!$A$2:$L$10000,8,FALSE))</f>
        <v xml:space="preserve"> </v>
      </c>
      <c r="J165" s="4" t="str">
        <f>IF(ISBLANK(A165)," ",VLOOKUP((A165),SONUC!$A$2:$L$10000,9,FALSE))</f>
        <v xml:space="preserve"> </v>
      </c>
      <c r="K165" s="4" t="str">
        <f>IF(ISBLANK(A165)," ",VLOOKUP((A165),SONUC!$A$2:$L$10000,10,FALSE))</f>
        <v xml:space="preserve"> </v>
      </c>
      <c r="L165" s="4" t="str">
        <f>IF(ISBLANK(A165)," ",VLOOKUP((A165),SONUC!$A$2:$L$10000,11,FALSE))</f>
        <v xml:space="preserve"> </v>
      </c>
      <c r="M165" s="4" t="str">
        <f>IF(ISBLANK(A165)," ",VLOOKUP((A165),SONUC!$A$2:$L$10000,12,FALSE))</f>
        <v xml:space="preserve"> </v>
      </c>
    </row>
    <row r="166" spans="2:13" x14ac:dyDescent="0.25">
      <c r="B166" s="4">
        <v>165</v>
      </c>
      <c r="C166" s="4" t="str">
        <f>IF(ISBLANK(A166)," ",VLOOKUP((A166),SONUC!$A$2:$L$10000,2,FALSE))</f>
        <v xml:space="preserve"> </v>
      </c>
      <c r="D166" s="4" t="str">
        <f>IF(ISBLANK(A166)," ",VLOOKUP((A166),SONUC!$A$2:$L$10000,3,FALSE))</f>
        <v xml:space="preserve"> </v>
      </c>
      <c r="E166" s="4" t="str">
        <f>IF(ISBLANK(A166)," ",VLOOKUP((A166),SONUC!$A$2:$L$10000,4,FALSE))</f>
        <v xml:space="preserve"> </v>
      </c>
      <c r="F166" s="4" t="str">
        <f>IF(ISBLANK(A166)," ",VLOOKUP((A166),SONUC!$A$2:$L$10000,5,FALSE))</f>
        <v xml:space="preserve"> </v>
      </c>
      <c r="G166" s="4" t="str">
        <f>IF(ISBLANK(A166)," ",VLOOKUP((A166),SONUC!$A$2:$L$10000,6,FALSE))</f>
        <v xml:space="preserve"> </v>
      </c>
      <c r="H166" s="4" t="str">
        <f>IF(ISBLANK(A166)," ",VLOOKUP((A166),SONUC!$A$2:$L$10000,7,FALSE))</f>
        <v xml:space="preserve"> </v>
      </c>
      <c r="I166" s="4" t="str">
        <f>IF(ISBLANK(A166)," ",VLOOKUP((A166),SONUC!$A$2:$L$10000,8,FALSE))</f>
        <v xml:space="preserve"> </v>
      </c>
      <c r="J166" s="4" t="str">
        <f>IF(ISBLANK(A166)," ",VLOOKUP((A166),SONUC!$A$2:$L$10000,9,FALSE))</f>
        <v xml:space="preserve"> </v>
      </c>
      <c r="K166" s="4" t="str">
        <f>IF(ISBLANK(A166)," ",VLOOKUP((A166),SONUC!$A$2:$L$10000,10,FALSE))</f>
        <v xml:space="preserve"> </v>
      </c>
      <c r="L166" s="4" t="str">
        <f>IF(ISBLANK(A166)," ",VLOOKUP((A166),SONUC!$A$2:$L$10000,11,FALSE))</f>
        <v xml:space="preserve"> </v>
      </c>
      <c r="M166" s="4" t="str">
        <f>IF(ISBLANK(A166)," ",VLOOKUP((A166),SONUC!$A$2:$L$10000,12,FALSE))</f>
        <v xml:space="preserve"> </v>
      </c>
    </row>
    <row r="167" spans="2:13" x14ac:dyDescent="0.25">
      <c r="B167" s="4">
        <v>166</v>
      </c>
      <c r="C167" s="4" t="str">
        <f>IF(ISBLANK(A167)," ",VLOOKUP((A167),SONUC!$A$2:$L$10000,2,FALSE))</f>
        <v xml:space="preserve"> </v>
      </c>
      <c r="D167" s="4" t="str">
        <f>IF(ISBLANK(A167)," ",VLOOKUP((A167),SONUC!$A$2:$L$10000,3,FALSE))</f>
        <v xml:space="preserve"> </v>
      </c>
      <c r="E167" s="4" t="str">
        <f>IF(ISBLANK(A167)," ",VLOOKUP((A167),SONUC!$A$2:$L$10000,4,FALSE))</f>
        <v xml:space="preserve"> </v>
      </c>
      <c r="F167" s="4" t="str">
        <f>IF(ISBLANK(A167)," ",VLOOKUP((A167),SONUC!$A$2:$L$10000,5,FALSE))</f>
        <v xml:space="preserve"> </v>
      </c>
      <c r="G167" s="4" t="str">
        <f>IF(ISBLANK(A167)," ",VLOOKUP((A167),SONUC!$A$2:$L$10000,6,FALSE))</f>
        <v xml:space="preserve"> </v>
      </c>
      <c r="H167" s="4" t="str">
        <f>IF(ISBLANK(A167)," ",VLOOKUP((A167),SONUC!$A$2:$L$10000,7,FALSE))</f>
        <v xml:space="preserve"> </v>
      </c>
      <c r="I167" s="4" t="str">
        <f>IF(ISBLANK(A167)," ",VLOOKUP((A167),SONUC!$A$2:$L$10000,8,FALSE))</f>
        <v xml:space="preserve"> </v>
      </c>
      <c r="J167" s="4" t="str">
        <f>IF(ISBLANK(A167)," ",VLOOKUP((A167),SONUC!$A$2:$L$10000,9,FALSE))</f>
        <v xml:space="preserve"> </v>
      </c>
      <c r="K167" s="4" t="str">
        <f>IF(ISBLANK(A167)," ",VLOOKUP((A167),SONUC!$A$2:$L$10000,10,FALSE))</f>
        <v xml:space="preserve"> </v>
      </c>
      <c r="L167" s="4" t="str">
        <f>IF(ISBLANK(A167)," ",VLOOKUP((A167),SONUC!$A$2:$L$10000,11,FALSE))</f>
        <v xml:space="preserve"> </v>
      </c>
      <c r="M167" s="4" t="str">
        <f>IF(ISBLANK(A167)," ",VLOOKUP((A167),SONUC!$A$2:$L$10000,12,FALSE))</f>
        <v xml:space="preserve"> </v>
      </c>
    </row>
    <row r="168" spans="2:13" x14ac:dyDescent="0.25">
      <c r="B168" s="4">
        <v>167</v>
      </c>
      <c r="C168" s="4" t="str">
        <f>IF(ISBLANK(A168)," ",VLOOKUP((A168),SONUC!$A$2:$L$10000,2,FALSE))</f>
        <v xml:space="preserve"> </v>
      </c>
      <c r="D168" s="4" t="str">
        <f>IF(ISBLANK(A168)," ",VLOOKUP((A168),SONUC!$A$2:$L$10000,3,FALSE))</f>
        <v xml:space="preserve"> </v>
      </c>
      <c r="E168" s="4" t="str">
        <f>IF(ISBLANK(A168)," ",VLOOKUP((A168),SONUC!$A$2:$L$10000,4,FALSE))</f>
        <v xml:space="preserve"> </v>
      </c>
      <c r="F168" s="4" t="str">
        <f>IF(ISBLANK(A168)," ",VLOOKUP((A168),SONUC!$A$2:$L$10000,5,FALSE))</f>
        <v xml:space="preserve"> </v>
      </c>
      <c r="G168" s="4" t="str">
        <f>IF(ISBLANK(A168)," ",VLOOKUP((A168),SONUC!$A$2:$L$10000,6,FALSE))</f>
        <v xml:space="preserve"> </v>
      </c>
      <c r="H168" s="4" t="str">
        <f>IF(ISBLANK(A168)," ",VLOOKUP((A168),SONUC!$A$2:$L$10000,7,FALSE))</f>
        <v xml:space="preserve"> </v>
      </c>
      <c r="I168" s="4" t="str">
        <f>IF(ISBLANK(A168)," ",VLOOKUP((A168),SONUC!$A$2:$L$10000,8,FALSE))</f>
        <v xml:space="preserve"> </v>
      </c>
      <c r="J168" s="4" t="str">
        <f>IF(ISBLANK(A168)," ",VLOOKUP((A168),SONUC!$A$2:$L$10000,9,FALSE))</f>
        <v xml:space="preserve"> </v>
      </c>
      <c r="K168" s="4" t="str">
        <f>IF(ISBLANK(A168)," ",VLOOKUP((A168),SONUC!$A$2:$L$10000,10,FALSE))</f>
        <v xml:space="preserve"> </v>
      </c>
      <c r="L168" s="4" t="str">
        <f>IF(ISBLANK(A168)," ",VLOOKUP((A168),SONUC!$A$2:$L$10000,11,FALSE))</f>
        <v xml:space="preserve"> </v>
      </c>
      <c r="M168" s="4" t="str">
        <f>IF(ISBLANK(A168)," ",VLOOKUP((A168),SONUC!$A$2:$L$10000,12,FALSE))</f>
        <v xml:space="preserve"> </v>
      </c>
    </row>
    <row r="169" spans="2:13" x14ac:dyDescent="0.25">
      <c r="B169" s="4">
        <v>168</v>
      </c>
      <c r="C169" s="4" t="str">
        <f>IF(ISBLANK(A169)," ",VLOOKUP((A169),SONUC!$A$2:$L$10000,2,FALSE))</f>
        <v xml:space="preserve"> </v>
      </c>
      <c r="D169" s="4" t="str">
        <f>IF(ISBLANK(A169)," ",VLOOKUP((A169),SONUC!$A$2:$L$10000,3,FALSE))</f>
        <v xml:space="preserve"> </v>
      </c>
      <c r="E169" s="4" t="str">
        <f>IF(ISBLANK(A169)," ",VLOOKUP((A169),SONUC!$A$2:$L$10000,4,FALSE))</f>
        <v xml:space="preserve"> </v>
      </c>
      <c r="F169" s="4" t="str">
        <f>IF(ISBLANK(A169)," ",VLOOKUP((A169),SONUC!$A$2:$L$10000,5,FALSE))</f>
        <v xml:space="preserve"> </v>
      </c>
      <c r="G169" s="4" t="str">
        <f>IF(ISBLANK(A169)," ",VLOOKUP((A169),SONUC!$A$2:$L$10000,6,FALSE))</f>
        <v xml:space="preserve"> </v>
      </c>
      <c r="H169" s="4" t="str">
        <f>IF(ISBLANK(A169)," ",VLOOKUP((A169),SONUC!$A$2:$L$10000,7,FALSE))</f>
        <v xml:space="preserve"> </v>
      </c>
      <c r="I169" s="4" t="str">
        <f>IF(ISBLANK(A169)," ",VLOOKUP((A169),SONUC!$A$2:$L$10000,8,FALSE))</f>
        <v xml:space="preserve"> </v>
      </c>
      <c r="J169" s="4" t="str">
        <f>IF(ISBLANK(A169)," ",VLOOKUP((A169),SONUC!$A$2:$L$10000,9,FALSE))</f>
        <v xml:space="preserve"> </v>
      </c>
      <c r="K169" s="4" t="str">
        <f>IF(ISBLANK(A169)," ",VLOOKUP((A169),SONUC!$A$2:$L$10000,10,FALSE))</f>
        <v xml:space="preserve"> </v>
      </c>
      <c r="L169" s="4" t="str">
        <f>IF(ISBLANK(A169)," ",VLOOKUP((A169),SONUC!$A$2:$L$10000,11,FALSE))</f>
        <v xml:space="preserve"> </v>
      </c>
      <c r="M169" s="4" t="str">
        <f>IF(ISBLANK(A169)," ",VLOOKUP((A169),SONUC!$A$2:$L$10000,12,FALSE))</f>
        <v xml:space="preserve"> </v>
      </c>
    </row>
    <row r="170" spans="2:13" x14ac:dyDescent="0.25">
      <c r="B170" s="4">
        <v>169</v>
      </c>
      <c r="C170" s="4" t="str">
        <f>IF(ISBLANK(A170)," ",VLOOKUP((A170),SONUC!$A$2:$L$10000,2,FALSE))</f>
        <v xml:space="preserve"> </v>
      </c>
      <c r="D170" s="4" t="str">
        <f>IF(ISBLANK(A170)," ",VLOOKUP((A170),SONUC!$A$2:$L$10000,3,FALSE))</f>
        <v xml:space="preserve"> </v>
      </c>
      <c r="E170" s="4" t="str">
        <f>IF(ISBLANK(A170)," ",VLOOKUP((A170),SONUC!$A$2:$L$10000,4,FALSE))</f>
        <v xml:space="preserve"> </v>
      </c>
      <c r="F170" s="4" t="str">
        <f>IF(ISBLANK(A170)," ",VLOOKUP((A170),SONUC!$A$2:$L$10000,5,FALSE))</f>
        <v xml:space="preserve"> </v>
      </c>
      <c r="G170" s="4" t="str">
        <f>IF(ISBLANK(A170)," ",VLOOKUP((A170),SONUC!$A$2:$L$10000,6,FALSE))</f>
        <v xml:space="preserve"> </v>
      </c>
      <c r="H170" s="4" t="str">
        <f>IF(ISBLANK(A170)," ",VLOOKUP((A170),SONUC!$A$2:$L$10000,7,FALSE))</f>
        <v xml:space="preserve"> </v>
      </c>
      <c r="I170" s="4" t="str">
        <f>IF(ISBLANK(A170)," ",VLOOKUP((A170),SONUC!$A$2:$L$10000,8,FALSE))</f>
        <v xml:space="preserve"> </v>
      </c>
      <c r="J170" s="4" t="str">
        <f>IF(ISBLANK(A170)," ",VLOOKUP((A170),SONUC!$A$2:$L$10000,9,FALSE))</f>
        <v xml:space="preserve"> </v>
      </c>
      <c r="K170" s="4" t="str">
        <f>IF(ISBLANK(A170)," ",VLOOKUP((A170),SONUC!$A$2:$L$10000,10,FALSE))</f>
        <v xml:space="preserve"> </v>
      </c>
      <c r="L170" s="4" t="str">
        <f>IF(ISBLANK(A170)," ",VLOOKUP((A170),SONUC!$A$2:$L$10000,11,FALSE))</f>
        <v xml:space="preserve"> </v>
      </c>
      <c r="M170" s="4" t="str">
        <f>IF(ISBLANK(A170)," ",VLOOKUP((A170),SONUC!$A$2:$L$10000,12,FALSE))</f>
        <v xml:space="preserve"> </v>
      </c>
    </row>
    <row r="171" spans="2:13" x14ac:dyDescent="0.25">
      <c r="B171" s="4">
        <v>170</v>
      </c>
      <c r="C171" s="4" t="str">
        <f>IF(ISBLANK(A171)," ",VLOOKUP((A171),SONUC!$A$2:$L$10000,2,FALSE))</f>
        <v xml:space="preserve"> </v>
      </c>
      <c r="D171" s="4" t="str">
        <f>IF(ISBLANK(A171)," ",VLOOKUP((A171),SONUC!$A$2:$L$10000,3,FALSE))</f>
        <v xml:space="preserve"> </v>
      </c>
      <c r="E171" s="4" t="str">
        <f>IF(ISBLANK(A171)," ",VLOOKUP((A171),SONUC!$A$2:$L$10000,4,FALSE))</f>
        <v xml:space="preserve"> </v>
      </c>
      <c r="F171" s="4" t="str">
        <f>IF(ISBLANK(A171)," ",VLOOKUP((A171),SONUC!$A$2:$L$10000,5,FALSE))</f>
        <v xml:space="preserve"> </v>
      </c>
      <c r="G171" s="4" t="str">
        <f>IF(ISBLANK(A171)," ",VLOOKUP((A171),SONUC!$A$2:$L$10000,6,FALSE))</f>
        <v xml:space="preserve"> </v>
      </c>
      <c r="H171" s="4" t="str">
        <f>IF(ISBLANK(A171)," ",VLOOKUP((A171),SONUC!$A$2:$L$10000,7,FALSE))</f>
        <v xml:space="preserve"> </v>
      </c>
      <c r="I171" s="4" t="str">
        <f>IF(ISBLANK(A171)," ",VLOOKUP((A171),SONUC!$A$2:$L$10000,8,FALSE))</f>
        <v xml:space="preserve"> </v>
      </c>
      <c r="J171" s="4" t="str">
        <f>IF(ISBLANK(A171)," ",VLOOKUP((A171),SONUC!$A$2:$L$10000,9,FALSE))</f>
        <v xml:space="preserve"> </v>
      </c>
      <c r="K171" s="4" t="str">
        <f>IF(ISBLANK(A171)," ",VLOOKUP((A171),SONUC!$A$2:$L$10000,10,FALSE))</f>
        <v xml:space="preserve"> </v>
      </c>
      <c r="L171" s="4" t="str">
        <f>IF(ISBLANK(A171)," ",VLOOKUP((A171),SONUC!$A$2:$L$10000,11,FALSE))</f>
        <v xml:space="preserve"> </v>
      </c>
      <c r="M171" s="4" t="str">
        <f>IF(ISBLANK(A171)," ",VLOOKUP((A171),SONUC!$A$2:$L$10000,12,FALSE))</f>
        <v xml:space="preserve"> </v>
      </c>
    </row>
    <row r="172" spans="2:13" x14ac:dyDescent="0.25">
      <c r="B172" s="4">
        <v>171</v>
      </c>
      <c r="C172" s="4" t="str">
        <f>IF(ISBLANK(A172)," ",VLOOKUP((A172),SONUC!$A$2:$L$10000,2,FALSE))</f>
        <v xml:space="preserve"> </v>
      </c>
      <c r="D172" s="4" t="str">
        <f>IF(ISBLANK(A172)," ",VLOOKUP((A172),SONUC!$A$2:$L$10000,3,FALSE))</f>
        <v xml:space="preserve"> </v>
      </c>
      <c r="E172" s="4" t="str">
        <f>IF(ISBLANK(A172)," ",VLOOKUP((A172),SONUC!$A$2:$L$10000,4,FALSE))</f>
        <v xml:space="preserve"> </v>
      </c>
      <c r="F172" s="4" t="str">
        <f>IF(ISBLANK(A172)," ",VLOOKUP((A172),SONUC!$A$2:$L$10000,5,FALSE))</f>
        <v xml:space="preserve"> </v>
      </c>
      <c r="G172" s="4" t="str">
        <f>IF(ISBLANK(A172)," ",VLOOKUP((A172),SONUC!$A$2:$L$10000,6,FALSE))</f>
        <v xml:space="preserve"> </v>
      </c>
      <c r="H172" s="4" t="str">
        <f>IF(ISBLANK(A172)," ",VLOOKUP((A172),SONUC!$A$2:$L$10000,7,FALSE))</f>
        <v xml:space="preserve"> </v>
      </c>
      <c r="I172" s="4" t="str">
        <f>IF(ISBLANK(A172)," ",VLOOKUP((A172),SONUC!$A$2:$L$10000,8,FALSE))</f>
        <v xml:space="preserve"> </v>
      </c>
      <c r="J172" s="4" t="str">
        <f>IF(ISBLANK(A172)," ",VLOOKUP((A172),SONUC!$A$2:$L$10000,9,FALSE))</f>
        <v xml:space="preserve"> </v>
      </c>
      <c r="K172" s="4" t="str">
        <f>IF(ISBLANK(A172)," ",VLOOKUP((A172),SONUC!$A$2:$L$10000,10,FALSE))</f>
        <v xml:space="preserve"> </v>
      </c>
      <c r="L172" s="4" t="str">
        <f>IF(ISBLANK(A172)," ",VLOOKUP((A172),SONUC!$A$2:$L$10000,11,FALSE))</f>
        <v xml:space="preserve"> </v>
      </c>
      <c r="M172" s="4" t="str">
        <f>IF(ISBLANK(A172)," ",VLOOKUP((A172),SONUC!$A$2:$L$10000,12,FALSE))</f>
        <v xml:space="preserve"> </v>
      </c>
    </row>
    <row r="173" spans="2:13" x14ac:dyDescent="0.25">
      <c r="B173" s="4">
        <v>172</v>
      </c>
      <c r="C173" s="4" t="str">
        <f>IF(ISBLANK(A173)," ",VLOOKUP((A173),SONUC!$A$2:$L$10000,2,FALSE))</f>
        <v xml:space="preserve"> </v>
      </c>
      <c r="D173" s="4" t="str">
        <f>IF(ISBLANK(A173)," ",VLOOKUP((A173),SONUC!$A$2:$L$10000,3,FALSE))</f>
        <v xml:space="preserve"> </v>
      </c>
      <c r="E173" s="4" t="str">
        <f>IF(ISBLANK(A173)," ",VLOOKUP((A173),SONUC!$A$2:$L$10000,4,FALSE))</f>
        <v xml:space="preserve"> </v>
      </c>
      <c r="F173" s="4" t="str">
        <f>IF(ISBLANK(A173)," ",VLOOKUP((A173),SONUC!$A$2:$L$10000,5,FALSE))</f>
        <v xml:space="preserve"> </v>
      </c>
      <c r="G173" s="4" t="str">
        <f>IF(ISBLANK(A173)," ",VLOOKUP((A173),SONUC!$A$2:$L$10000,6,FALSE))</f>
        <v xml:space="preserve"> </v>
      </c>
      <c r="H173" s="4" t="str">
        <f>IF(ISBLANK(A173)," ",VLOOKUP((A173),SONUC!$A$2:$L$10000,7,FALSE))</f>
        <v xml:space="preserve"> </v>
      </c>
      <c r="I173" s="4" t="str">
        <f>IF(ISBLANK(A173)," ",VLOOKUP((A173),SONUC!$A$2:$L$10000,8,FALSE))</f>
        <v xml:space="preserve"> </v>
      </c>
      <c r="J173" s="4" t="str">
        <f>IF(ISBLANK(A173)," ",VLOOKUP((A173),SONUC!$A$2:$L$10000,9,FALSE))</f>
        <v xml:space="preserve"> </v>
      </c>
      <c r="K173" s="4" t="str">
        <f>IF(ISBLANK(A173)," ",VLOOKUP((A173),SONUC!$A$2:$L$10000,10,FALSE))</f>
        <v xml:space="preserve"> </v>
      </c>
      <c r="L173" s="4" t="str">
        <f>IF(ISBLANK(A173)," ",VLOOKUP((A173),SONUC!$A$2:$L$10000,11,FALSE))</f>
        <v xml:space="preserve"> </v>
      </c>
      <c r="M173" s="4" t="str">
        <f>IF(ISBLANK(A173)," ",VLOOKUP((A173),SONUC!$A$2:$L$10000,12,FALSE))</f>
        <v xml:space="preserve"> </v>
      </c>
    </row>
    <row r="174" spans="2:13" x14ac:dyDescent="0.25">
      <c r="B174" s="4">
        <v>173</v>
      </c>
      <c r="C174" s="4" t="str">
        <f>IF(ISBLANK(A174)," ",VLOOKUP((A174),SONUC!$A$2:$L$10000,2,FALSE))</f>
        <v xml:space="preserve"> </v>
      </c>
      <c r="D174" s="4" t="str">
        <f>IF(ISBLANK(A174)," ",VLOOKUP((A174),SONUC!$A$2:$L$10000,3,FALSE))</f>
        <v xml:space="preserve"> </v>
      </c>
      <c r="E174" s="4" t="str">
        <f>IF(ISBLANK(A174)," ",VLOOKUP((A174),SONUC!$A$2:$L$10000,4,FALSE))</f>
        <v xml:space="preserve"> </v>
      </c>
      <c r="F174" s="4" t="str">
        <f>IF(ISBLANK(A174)," ",VLOOKUP((A174),SONUC!$A$2:$L$10000,5,FALSE))</f>
        <v xml:space="preserve"> </v>
      </c>
      <c r="G174" s="4" t="str">
        <f>IF(ISBLANK(A174)," ",VLOOKUP((A174),SONUC!$A$2:$L$10000,6,FALSE))</f>
        <v xml:space="preserve"> </v>
      </c>
      <c r="H174" s="4" t="str">
        <f>IF(ISBLANK(A174)," ",VLOOKUP((A174),SONUC!$A$2:$L$10000,7,FALSE))</f>
        <v xml:space="preserve"> </v>
      </c>
      <c r="I174" s="4" t="str">
        <f>IF(ISBLANK(A174)," ",VLOOKUP((A174),SONUC!$A$2:$L$10000,8,FALSE))</f>
        <v xml:space="preserve"> </v>
      </c>
      <c r="J174" s="4" t="str">
        <f>IF(ISBLANK(A174)," ",VLOOKUP((A174),SONUC!$A$2:$L$10000,9,FALSE))</f>
        <v xml:space="preserve"> </v>
      </c>
      <c r="K174" s="4" t="str">
        <f>IF(ISBLANK(A174)," ",VLOOKUP((A174),SONUC!$A$2:$L$10000,10,FALSE))</f>
        <v xml:space="preserve"> </v>
      </c>
      <c r="L174" s="4" t="str">
        <f>IF(ISBLANK(A174)," ",VLOOKUP((A174),SONUC!$A$2:$L$10000,11,FALSE))</f>
        <v xml:space="preserve"> </v>
      </c>
      <c r="M174" s="4" t="str">
        <f>IF(ISBLANK(A174)," ",VLOOKUP((A174),SONUC!$A$2:$L$10000,12,FALSE))</f>
        <v xml:space="preserve"> </v>
      </c>
    </row>
    <row r="175" spans="2:13" x14ac:dyDescent="0.25">
      <c r="B175" s="4">
        <v>174</v>
      </c>
      <c r="C175" s="4" t="str">
        <f>IF(ISBLANK(A175)," ",VLOOKUP((A175),SONUC!$A$2:$L$10000,2,FALSE))</f>
        <v xml:space="preserve"> </v>
      </c>
      <c r="D175" s="4" t="str">
        <f>IF(ISBLANK(A175)," ",VLOOKUP((A175),SONUC!$A$2:$L$10000,3,FALSE))</f>
        <v xml:space="preserve"> </v>
      </c>
      <c r="E175" s="4" t="str">
        <f>IF(ISBLANK(A175)," ",VLOOKUP((A175),SONUC!$A$2:$L$10000,4,FALSE))</f>
        <v xml:space="preserve"> </v>
      </c>
      <c r="F175" s="4" t="str">
        <f>IF(ISBLANK(A175)," ",VLOOKUP((A175),SONUC!$A$2:$L$10000,5,FALSE))</f>
        <v xml:space="preserve"> </v>
      </c>
      <c r="G175" s="4" t="str">
        <f>IF(ISBLANK(A175)," ",VLOOKUP((A175),SONUC!$A$2:$L$10000,6,FALSE))</f>
        <v xml:space="preserve"> </v>
      </c>
      <c r="H175" s="4" t="str">
        <f>IF(ISBLANK(A175)," ",VLOOKUP((A175),SONUC!$A$2:$L$10000,7,FALSE))</f>
        <v xml:space="preserve"> </v>
      </c>
      <c r="I175" s="4" t="str">
        <f>IF(ISBLANK(A175)," ",VLOOKUP((A175),SONUC!$A$2:$L$10000,8,FALSE))</f>
        <v xml:space="preserve"> </v>
      </c>
      <c r="J175" s="4" t="str">
        <f>IF(ISBLANK(A175)," ",VLOOKUP((A175),SONUC!$A$2:$L$10000,9,FALSE))</f>
        <v xml:space="preserve"> </v>
      </c>
      <c r="K175" s="4" t="str">
        <f>IF(ISBLANK(A175)," ",VLOOKUP((A175),SONUC!$A$2:$L$10000,10,FALSE))</f>
        <v xml:space="preserve"> </v>
      </c>
      <c r="L175" s="4" t="str">
        <f>IF(ISBLANK(A175)," ",VLOOKUP((A175),SONUC!$A$2:$L$10000,11,FALSE))</f>
        <v xml:space="preserve"> </v>
      </c>
      <c r="M175" s="4" t="str">
        <f>IF(ISBLANK(A175)," ",VLOOKUP((A175),SONUC!$A$2:$L$10000,12,FALSE))</f>
        <v xml:space="preserve"> </v>
      </c>
    </row>
    <row r="176" spans="2:13" x14ac:dyDescent="0.25">
      <c r="B176" s="4">
        <v>175</v>
      </c>
      <c r="C176" s="4" t="str">
        <f>IF(ISBLANK(A176)," ",VLOOKUP((A176),SONUC!$A$2:$L$10000,2,FALSE))</f>
        <v xml:space="preserve"> </v>
      </c>
      <c r="D176" s="4" t="str">
        <f>IF(ISBLANK(A176)," ",VLOOKUP((A176),SONUC!$A$2:$L$10000,3,FALSE))</f>
        <v xml:space="preserve"> </v>
      </c>
      <c r="E176" s="4" t="str">
        <f>IF(ISBLANK(A176)," ",VLOOKUP((A176),SONUC!$A$2:$L$10000,4,FALSE))</f>
        <v xml:space="preserve"> </v>
      </c>
      <c r="F176" s="4" t="str">
        <f>IF(ISBLANK(A176)," ",VLOOKUP((A176),SONUC!$A$2:$L$10000,5,FALSE))</f>
        <v xml:space="preserve"> </v>
      </c>
      <c r="G176" s="4" t="str">
        <f>IF(ISBLANK(A176)," ",VLOOKUP((A176),SONUC!$A$2:$L$10000,6,FALSE))</f>
        <v xml:space="preserve"> </v>
      </c>
      <c r="H176" s="4" t="str">
        <f>IF(ISBLANK(A176)," ",VLOOKUP((A176),SONUC!$A$2:$L$10000,7,FALSE))</f>
        <v xml:space="preserve"> </v>
      </c>
      <c r="I176" s="4" t="str">
        <f>IF(ISBLANK(A176)," ",VLOOKUP((A176),SONUC!$A$2:$L$10000,8,FALSE))</f>
        <v xml:space="preserve"> </v>
      </c>
      <c r="J176" s="4" t="str">
        <f>IF(ISBLANK(A176)," ",VLOOKUP((A176),SONUC!$A$2:$L$10000,9,FALSE))</f>
        <v xml:space="preserve"> </v>
      </c>
      <c r="K176" s="4" t="str">
        <f>IF(ISBLANK(A176)," ",VLOOKUP((A176),SONUC!$A$2:$L$10000,10,FALSE))</f>
        <v xml:space="preserve"> </v>
      </c>
      <c r="L176" s="4" t="str">
        <f>IF(ISBLANK(A176)," ",VLOOKUP((A176),SONUC!$A$2:$L$10000,11,FALSE))</f>
        <v xml:space="preserve"> </v>
      </c>
      <c r="M176" s="4" t="str">
        <f>IF(ISBLANK(A176)," ",VLOOKUP((A176),SONUC!$A$2:$L$10000,12,FALSE))</f>
        <v xml:space="preserve"> </v>
      </c>
    </row>
    <row r="177" spans="2:13" x14ac:dyDescent="0.25">
      <c r="B177" s="4">
        <v>176</v>
      </c>
      <c r="C177" s="4" t="str">
        <f>IF(ISBLANK(A177)," ",VLOOKUP((A177),SONUC!$A$2:$L$10000,2,FALSE))</f>
        <v xml:space="preserve"> </v>
      </c>
      <c r="D177" s="4" t="str">
        <f>IF(ISBLANK(A177)," ",VLOOKUP((A177),SONUC!$A$2:$L$10000,3,FALSE))</f>
        <v xml:space="preserve"> </v>
      </c>
      <c r="E177" s="4" t="str">
        <f>IF(ISBLANK(A177)," ",VLOOKUP((A177),SONUC!$A$2:$L$10000,4,FALSE))</f>
        <v xml:space="preserve"> </v>
      </c>
      <c r="F177" s="4" t="str">
        <f>IF(ISBLANK(A177)," ",VLOOKUP((A177),SONUC!$A$2:$L$10000,5,FALSE))</f>
        <v xml:space="preserve"> </v>
      </c>
      <c r="G177" s="4" t="str">
        <f>IF(ISBLANK(A177)," ",VLOOKUP((A177),SONUC!$A$2:$L$10000,6,FALSE))</f>
        <v xml:space="preserve"> </v>
      </c>
      <c r="H177" s="4" t="str">
        <f>IF(ISBLANK(A177)," ",VLOOKUP((A177),SONUC!$A$2:$L$10000,7,FALSE))</f>
        <v xml:space="preserve"> </v>
      </c>
      <c r="I177" s="4" t="str">
        <f>IF(ISBLANK(A177)," ",VLOOKUP((A177),SONUC!$A$2:$L$10000,8,FALSE))</f>
        <v xml:space="preserve"> </v>
      </c>
      <c r="J177" s="4" t="str">
        <f>IF(ISBLANK(A177)," ",VLOOKUP((A177),SONUC!$A$2:$L$10000,9,FALSE))</f>
        <v xml:space="preserve"> </v>
      </c>
      <c r="K177" s="4" t="str">
        <f>IF(ISBLANK(A177)," ",VLOOKUP((A177),SONUC!$A$2:$L$10000,10,FALSE))</f>
        <v xml:space="preserve"> </v>
      </c>
      <c r="L177" s="4" t="str">
        <f>IF(ISBLANK(A177)," ",VLOOKUP((A177),SONUC!$A$2:$L$10000,11,FALSE))</f>
        <v xml:space="preserve"> </v>
      </c>
      <c r="M177" s="4" t="str">
        <f>IF(ISBLANK(A177)," ",VLOOKUP((A177),SONUC!$A$2:$L$10000,12,FALSE))</f>
        <v xml:space="preserve"> </v>
      </c>
    </row>
    <row r="178" spans="2:13" x14ac:dyDescent="0.25">
      <c r="B178" s="4">
        <v>177</v>
      </c>
      <c r="C178" s="4" t="str">
        <f>IF(ISBLANK(A178)," ",VLOOKUP((A178),SONUC!$A$2:$L$10000,2,FALSE))</f>
        <v xml:space="preserve"> </v>
      </c>
      <c r="D178" s="4" t="str">
        <f>IF(ISBLANK(A178)," ",VLOOKUP((A178),SONUC!$A$2:$L$10000,3,FALSE))</f>
        <v xml:space="preserve"> </v>
      </c>
      <c r="E178" s="4" t="str">
        <f>IF(ISBLANK(A178)," ",VLOOKUP((A178),SONUC!$A$2:$L$10000,4,FALSE))</f>
        <v xml:space="preserve"> </v>
      </c>
      <c r="F178" s="4" t="str">
        <f>IF(ISBLANK(A178)," ",VLOOKUP((A178),SONUC!$A$2:$L$10000,5,FALSE))</f>
        <v xml:space="preserve"> </v>
      </c>
      <c r="G178" s="4" t="str">
        <f>IF(ISBLANK(A178)," ",VLOOKUP((A178),SONUC!$A$2:$L$10000,6,FALSE))</f>
        <v xml:space="preserve"> </v>
      </c>
      <c r="H178" s="4" t="str">
        <f>IF(ISBLANK(A178)," ",VLOOKUP((A178),SONUC!$A$2:$L$10000,7,FALSE))</f>
        <v xml:space="preserve"> </v>
      </c>
      <c r="I178" s="4" t="str">
        <f>IF(ISBLANK(A178)," ",VLOOKUP((A178),SONUC!$A$2:$L$10000,8,FALSE))</f>
        <v xml:space="preserve"> </v>
      </c>
      <c r="J178" s="4" t="str">
        <f>IF(ISBLANK(A178)," ",VLOOKUP((A178),SONUC!$A$2:$L$10000,9,FALSE))</f>
        <v xml:space="preserve"> </v>
      </c>
      <c r="K178" s="4" t="str">
        <f>IF(ISBLANK(A178)," ",VLOOKUP((A178),SONUC!$A$2:$L$10000,10,FALSE))</f>
        <v xml:space="preserve"> </v>
      </c>
      <c r="L178" s="4" t="str">
        <f>IF(ISBLANK(A178)," ",VLOOKUP((A178),SONUC!$A$2:$L$10000,11,FALSE))</f>
        <v xml:space="preserve"> </v>
      </c>
      <c r="M178" s="4" t="str">
        <f>IF(ISBLANK(A178)," ",VLOOKUP((A178),SONUC!$A$2:$L$10000,12,FALSE))</f>
        <v xml:space="preserve"> </v>
      </c>
    </row>
    <row r="179" spans="2:13" x14ac:dyDescent="0.25">
      <c r="B179" s="4">
        <v>178</v>
      </c>
      <c r="C179" s="4" t="str">
        <f>IF(ISBLANK(A179)," ",VLOOKUP((A179),SONUC!$A$2:$L$10000,2,FALSE))</f>
        <v xml:space="preserve"> </v>
      </c>
      <c r="D179" s="4" t="str">
        <f>IF(ISBLANK(A179)," ",VLOOKUP((A179),SONUC!$A$2:$L$10000,3,FALSE))</f>
        <v xml:space="preserve"> </v>
      </c>
      <c r="E179" s="4" t="str">
        <f>IF(ISBLANK(A179)," ",VLOOKUP((A179),SONUC!$A$2:$L$10000,4,FALSE))</f>
        <v xml:space="preserve"> </v>
      </c>
      <c r="F179" s="4" t="str">
        <f>IF(ISBLANK(A179)," ",VLOOKUP((A179),SONUC!$A$2:$L$10000,5,FALSE))</f>
        <v xml:space="preserve"> </v>
      </c>
      <c r="G179" s="4" t="str">
        <f>IF(ISBLANK(A179)," ",VLOOKUP((A179),SONUC!$A$2:$L$10000,6,FALSE))</f>
        <v xml:space="preserve"> </v>
      </c>
      <c r="H179" s="4" t="str">
        <f>IF(ISBLANK(A179)," ",VLOOKUP((A179),SONUC!$A$2:$L$10000,7,FALSE))</f>
        <v xml:space="preserve"> </v>
      </c>
      <c r="I179" s="4" t="str">
        <f>IF(ISBLANK(A179)," ",VLOOKUP((A179),SONUC!$A$2:$L$10000,8,FALSE))</f>
        <v xml:space="preserve"> </v>
      </c>
      <c r="J179" s="4" t="str">
        <f>IF(ISBLANK(A179)," ",VLOOKUP((A179),SONUC!$A$2:$L$10000,9,FALSE))</f>
        <v xml:space="preserve"> </v>
      </c>
      <c r="K179" s="4" t="str">
        <f>IF(ISBLANK(A179)," ",VLOOKUP((A179),SONUC!$A$2:$L$10000,10,FALSE))</f>
        <v xml:space="preserve"> </v>
      </c>
      <c r="L179" s="4" t="str">
        <f>IF(ISBLANK(A179)," ",VLOOKUP((A179),SONUC!$A$2:$L$10000,11,FALSE))</f>
        <v xml:space="preserve"> </v>
      </c>
      <c r="M179" s="4" t="str">
        <f>IF(ISBLANK(A179)," ",VLOOKUP((A179),SONUC!$A$2:$L$10000,12,FALSE))</f>
        <v xml:space="preserve"> </v>
      </c>
    </row>
    <row r="180" spans="2:13" x14ac:dyDescent="0.25">
      <c r="B180" s="4">
        <v>179</v>
      </c>
      <c r="C180" s="4" t="str">
        <f>IF(ISBLANK(A180)," ",VLOOKUP((A180),SONUC!$A$2:$L$10000,2,FALSE))</f>
        <v xml:space="preserve"> </v>
      </c>
      <c r="D180" s="4" t="str">
        <f>IF(ISBLANK(A180)," ",VLOOKUP((A180),SONUC!$A$2:$L$10000,3,FALSE))</f>
        <v xml:space="preserve"> </v>
      </c>
      <c r="E180" s="4" t="str">
        <f>IF(ISBLANK(A180)," ",VLOOKUP((A180),SONUC!$A$2:$L$10000,4,FALSE))</f>
        <v xml:space="preserve"> </v>
      </c>
      <c r="F180" s="4" t="str">
        <f>IF(ISBLANK(A180)," ",VLOOKUP((A180),SONUC!$A$2:$L$10000,5,FALSE))</f>
        <v xml:space="preserve"> </v>
      </c>
      <c r="G180" s="4" t="str">
        <f>IF(ISBLANK(A180)," ",VLOOKUP((A180),SONUC!$A$2:$L$10000,6,FALSE))</f>
        <v xml:space="preserve"> </v>
      </c>
      <c r="H180" s="4" t="str">
        <f>IF(ISBLANK(A180)," ",VLOOKUP((A180),SONUC!$A$2:$L$10000,7,FALSE))</f>
        <v xml:space="preserve"> </v>
      </c>
      <c r="I180" s="4" t="str">
        <f>IF(ISBLANK(A180)," ",VLOOKUP((A180),SONUC!$A$2:$L$10000,8,FALSE))</f>
        <v xml:space="preserve"> </v>
      </c>
      <c r="J180" s="4" t="str">
        <f>IF(ISBLANK(A180)," ",VLOOKUP((A180),SONUC!$A$2:$L$10000,9,FALSE))</f>
        <v xml:space="preserve"> </v>
      </c>
      <c r="K180" s="4" t="str">
        <f>IF(ISBLANK(A180)," ",VLOOKUP((A180),SONUC!$A$2:$L$10000,10,FALSE))</f>
        <v xml:space="preserve"> </v>
      </c>
      <c r="L180" s="4" t="str">
        <f>IF(ISBLANK(A180)," ",VLOOKUP((A180),SONUC!$A$2:$L$10000,11,FALSE))</f>
        <v xml:space="preserve"> </v>
      </c>
      <c r="M180" s="4" t="str">
        <f>IF(ISBLANK(A180)," ",VLOOKUP((A180),SONUC!$A$2:$L$10000,12,FALSE))</f>
        <v xml:space="preserve"> </v>
      </c>
    </row>
    <row r="181" spans="2:13" x14ac:dyDescent="0.25">
      <c r="B181" s="4">
        <v>180</v>
      </c>
      <c r="C181" s="4" t="str">
        <f>IF(ISBLANK(A181)," ",VLOOKUP((A181),SONUC!$A$2:$L$10000,2,FALSE))</f>
        <v xml:space="preserve"> </v>
      </c>
      <c r="D181" s="4" t="str">
        <f>IF(ISBLANK(A181)," ",VLOOKUP((A181),SONUC!$A$2:$L$10000,3,FALSE))</f>
        <v xml:space="preserve"> </v>
      </c>
      <c r="E181" s="4" t="str">
        <f>IF(ISBLANK(A181)," ",VLOOKUP((A181),SONUC!$A$2:$L$10000,4,FALSE))</f>
        <v xml:space="preserve"> </v>
      </c>
      <c r="F181" s="4" t="str">
        <f>IF(ISBLANK(A181)," ",VLOOKUP((A181),SONUC!$A$2:$L$10000,5,FALSE))</f>
        <v xml:space="preserve"> </v>
      </c>
      <c r="G181" s="4" t="str">
        <f>IF(ISBLANK(A181)," ",VLOOKUP((A181),SONUC!$A$2:$L$10000,6,FALSE))</f>
        <v xml:space="preserve"> </v>
      </c>
      <c r="H181" s="4" t="str">
        <f>IF(ISBLANK(A181)," ",VLOOKUP((A181),SONUC!$A$2:$L$10000,7,FALSE))</f>
        <v xml:space="preserve"> </v>
      </c>
      <c r="I181" s="4" t="str">
        <f>IF(ISBLANK(A181)," ",VLOOKUP((A181),SONUC!$A$2:$L$10000,8,FALSE))</f>
        <v xml:space="preserve"> </v>
      </c>
      <c r="J181" s="4" t="str">
        <f>IF(ISBLANK(A181)," ",VLOOKUP((A181),SONUC!$A$2:$L$10000,9,FALSE))</f>
        <v xml:space="preserve"> </v>
      </c>
      <c r="K181" s="4" t="str">
        <f>IF(ISBLANK(A181)," ",VLOOKUP((A181),SONUC!$A$2:$L$10000,10,FALSE))</f>
        <v xml:space="preserve"> </v>
      </c>
      <c r="L181" s="4" t="str">
        <f>IF(ISBLANK(A181)," ",VLOOKUP((A181),SONUC!$A$2:$L$10000,11,FALSE))</f>
        <v xml:space="preserve"> </v>
      </c>
      <c r="M181" s="4" t="str">
        <f>IF(ISBLANK(A181)," ",VLOOKUP((A181),SONUC!$A$2:$L$10000,12,FALSE))</f>
        <v xml:space="preserve"> </v>
      </c>
    </row>
    <row r="182" spans="2:13" x14ac:dyDescent="0.25">
      <c r="B182" s="4">
        <v>181</v>
      </c>
      <c r="C182" s="4" t="str">
        <f>IF(ISBLANK(A182)," ",VLOOKUP((A182),SONUC!$A$2:$L$10000,2,FALSE))</f>
        <v xml:space="preserve"> </v>
      </c>
      <c r="D182" s="4" t="str">
        <f>IF(ISBLANK(A182)," ",VLOOKUP((A182),SONUC!$A$2:$L$10000,3,FALSE))</f>
        <v xml:space="preserve"> </v>
      </c>
      <c r="E182" s="4" t="str">
        <f>IF(ISBLANK(A182)," ",VLOOKUP((A182),SONUC!$A$2:$L$10000,4,FALSE))</f>
        <v xml:space="preserve"> </v>
      </c>
      <c r="F182" s="4" t="str">
        <f>IF(ISBLANK(A182)," ",VLOOKUP((A182),SONUC!$A$2:$L$10000,5,FALSE))</f>
        <v xml:space="preserve"> </v>
      </c>
      <c r="G182" s="4" t="str">
        <f>IF(ISBLANK(A182)," ",VLOOKUP((A182),SONUC!$A$2:$L$10000,6,FALSE))</f>
        <v xml:space="preserve"> </v>
      </c>
      <c r="H182" s="4" t="str">
        <f>IF(ISBLANK(A182)," ",VLOOKUP((A182),SONUC!$A$2:$L$10000,7,FALSE))</f>
        <v xml:space="preserve"> </v>
      </c>
      <c r="I182" s="4" t="str">
        <f>IF(ISBLANK(A182)," ",VLOOKUP((A182),SONUC!$A$2:$L$10000,8,FALSE))</f>
        <v xml:space="preserve"> </v>
      </c>
      <c r="J182" s="4" t="str">
        <f>IF(ISBLANK(A182)," ",VLOOKUP((A182),SONUC!$A$2:$L$10000,9,FALSE))</f>
        <v xml:space="preserve"> </v>
      </c>
      <c r="K182" s="4" t="str">
        <f>IF(ISBLANK(A182)," ",VLOOKUP((A182),SONUC!$A$2:$L$10000,10,FALSE))</f>
        <v xml:space="preserve"> </v>
      </c>
      <c r="L182" s="4" t="str">
        <f>IF(ISBLANK(A182)," ",VLOOKUP((A182),SONUC!$A$2:$L$10000,11,FALSE))</f>
        <v xml:space="preserve"> </v>
      </c>
      <c r="M182" s="4" t="str">
        <f>IF(ISBLANK(A182)," ",VLOOKUP((A182),SONUC!$A$2:$L$10000,12,FALSE))</f>
        <v xml:space="preserve"> </v>
      </c>
    </row>
    <row r="183" spans="2:13" x14ac:dyDescent="0.25">
      <c r="B183" s="4">
        <v>182</v>
      </c>
      <c r="C183" s="4" t="str">
        <f>IF(ISBLANK(A183)," ",VLOOKUP((A183),SONUC!$A$2:$L$10000,2,FALSE))</f>
        <v xml:space="preserve"> </v>
      </c>
      <c r="D183" s="4" t="str">
        <f>IF(ISBLANK(A183)," ",VLOOKUP((A183),SONUC!$A$2:$L$10000,3,FALSE))</f>
        <v xml:space="preserve"> </v>
      </c>
      <c r="E183" s="4" t="str">
        <f>IF(ISBLANK(A183)," ",VLOOKUP((A183),SONUC!$A$2:$L$10000,4,FALSE))</f>
        <v xml:space="preserve"> </v>
      </c>
      <c r="F183" s="4" t="str">
        <f>IF(ISBLANK(A183)," ",VLOOKUP((A183),SONUC!$A$2:$L$10000,5,FALSE))</f>
        <v xml:space="preserve"> </v>
      </c>
      <c r="G183" s="4" t="str">
        <f>IF(ISBLANK(A183)," ",VLOOKUP((A183),SONUC!$A$2:$L$10000,6,FALSE))</f>
        <v xml:space="preserve"> </v>
      </c>
      <c r="H183" s="4" t="str">
        <f>IF(ISBLANK(A183)," ",VLOOKUP((A183),SONUC!$A$2:$L$10000,7,FALSE))</f>
        <v xml:space="preserve"> </v>
      </c>
      <c r="I183" s="4" t="str">
        <f>IF(ISBLANK(A183)," ",VLOOKUP((A183),SONUC!$A$2:$L$10000,8,FALSE))</f>
        <v xml:space="preserve"> </v>
      </c>
      <c r="J183" s="4" t="str">
        <f>IF(ISBLANK(A183)," ",VLOOKUP((A183),SONUC!$A$2:$L$10000,9,FALSE))</f>
        <v xml:space="preserve"> </v>
      </c>
      <c r="K183" s="4" t="str">
        <f>IF(ISBLANK(A183)," ",VLOOKUP((A183),SONUC!$A$2:$L$10000,10,FALSE))</f>
        <v xml:space="preserve"> </v>
      </c>
      <c r="L183" s="4" t="str">
        <f>IF(ISBLANK(A183)," ",VLOOKUP((A183),SONUC!$A$2:$L$10000,11,FALSE))</f>
        <v xml:space="preserve"> </v>
      </c>
      <c r="M183" s="4" t="str">
        <f>IF(ISBLANK(A183)," ",VLOOKUP((A183),SONUC!$A$2:$L$10000,12,FALSE))</f>
        <v xml:space="preserve"> </v>
      </c>
    </row>
    <row r="184" spans="2:13" x14ac:dyDescent="0.25">
      <c r="B184" s="4">
        <v>183</v>
      </c>
      <c r="C184" s="4" t="str">
        <f>IF(ISBLANK(A184)," ",VLOOKUP((A184),SONUC!$A$2:$L$10000,2,FALSE))</f>
        <v xml:space="preserve"> </v>
      </c>
      <c r="D184" s="4" t="str">
        <f>IF(ISBLANK(A184)," ",VLOOKUP((A184),SONUC!$A$2:$L$10000,3,FALSE))</f>
        <v xml:space="preserve"> </v>
      </c>
      <c r="E184" s="4" t="str">
        <f>IF(ISBLANK(A184)," ",VLOOKUP((A184),SONUC!$A$2:$L$10000,4,FALSE))</f>
        <v xml:space="preserve"> </v>
      </c>
      <c r="F184" s="4" t="str">
        <f>IF(ISBLANK(A184)," ",VLOOKUP((A184),SONUC!$A$2:$L$10000,5,FALSE))</f>
        <v xml:space="preserve"> </v>
      </c>
      <c r="G184" s="4" t="str">
        <f>IF(ISBLANK(A184)," ",VLOOKUP((A184),SONUC!$A$2:$L$10000,6,FALSE))</f>
        <v xml:space="preserve"> </v>
      </c>
      <c r="H184" s="4" t="str">
        <f>IF(ISBLANK(A184)," ",VLOOKUP((A184),SONUC!$A$2:$L$10000,7,FALSE))</f>
        <v xml:space="preserve"> </v>
      </c>
      <c r="I184" s="4" t="str">
        <f>IF(ISBLANK(A184)," ",VLOOKUP((A184),SONUC!$A$2:$L$10000,8,FALSE))</f>
        <v xml:space="preserve"> </v>
      </c>
      <c r="J184" s="4" t="str">
        <f>IF(ISBLANK(A184)," ",VLOOKUP((A184),SONUC!$A$2:$L$10000,9,FALSE))</f>
        <v xml:space="preserve"> </v>
      </c>
      <c r="K184" s="4" t="str">
        <f>IF(ISBLANK(A184)," ",VLOOKUP((A184),SONUC!$A$2:$L$10000,10,FALSE))</f>
        <v xml:space="preserve"> </v>
      </c>
      <c r="L184" s="4" t="str">
        <f>IF(ISBLANK(A184)," ",VLOOKUP((A184),SONUC!$A$2:$L$10000,11,FALSE))</f>
        <v xml:space="preserve"> </v>
      </c>
      <c r="M184" s="4" t="str">
        <f>IF(ISBLANK(A184)," ",VLOOKUP((A184),SONUC!$A$2:$L$10000,12,FALSE))</f>
        <v xml:space="preserve"> </v>
      </c>
    </row>
    <row r="185" spans="2:13" x14ac:dyDescent="0.25">
      <c r="B185" s="4">
        <v>184</v>
      </c>
      <c r="C185" s="4" t="str">
        <f>IF(ISBLANK(A185)," ",VLOOKUP((A185),SONUC!$A$2:$L$10000,2,FALSE))</f>
        <v xml:space="preserve"> </v>
      </c>
      <c r="D185" s="4" t="str">
        <f>IF(ISBLANK(A185)," ",VLOOKUP((A185),SONUC!$A$2:$L$10000,3,FALSE))</f>
        <v xml:space="preserve"> </v>
      </c>
      <c r="E185" s="4" t="str">
        <f>IF(ISBLANK(A185)," ",VLOOKUP((A185),SONUC!$A$2:$L$10000,4,FALSE))</f>
        <v xml:space="preserve"> </v>
      </c>
      <c r="F185" s="4" t="str">
        <f>IF(ISBLANK(A185)," ",VLOOKUP((A185),SONUC!$A$2:$L$10000,5,FALSE))</f>
        <v xml:space="preserve"> </v>
      </c>
      <c r="G185" s="4" t="str">
        <f>IF(ISBLANK(A185)," ",VLOOKUP((A185),SONUC!$A$2:$L$10000,6,FALSE))</f>
        <v xml:space="preserve"> </v>
      </c>
      <c r="H185" s="4" t="str">
        <f>IF(ISBLANK(A185)," ",VLOOKUP((A185),SONUC!$A$2:$L$10000,7,FALSE))</f>
        <v xml:space="preserve"> </v>
      </c>
      <c r="I185" s="4" t="str">
        <f>IF(ISBLANK(A185)," ",VLOOKUP((A185),SONUC!$A$2:$L$10000,8,FALSE))</f>
        <v xml:space="preserve"> </v>
      </c>
      <c r="J185" s="4" t="str">
        <f>IF(ISBLANK(A185)," ",VLOOKUP((A185),SONUC!$A$2:$L$10000,9,FALSE))</f>
        <v xml:space="preserve"> </v>
      </c>
      <c r="K185" s="4" t="str">
        <f>IF(ISBLANK(A185)," ",VLOOKUP((A185),SONUC!$A$2:$L$10000,10,FALSE))</f>
        <v xml:space="preserve"> </v>
      </c>
      <c r="L185" s="4" t="str">
        <f>IF(ISBLANK(A185)," ",VLOOKUP((A185),SONUC!$A$2:$L$10000,11,FALSE))</f>
        <v xml:space="preserve"> </v>
      </c>
      <c r="M185" s="4" t="str">
        <f>IF(ISBLANK(A185)," ",VLOOKUP((A185),SONUC!$A$2:$L$10000,12,FALSE))</f>
        <v xml:space="preserve"> </v>
      </c>
    </row>
    <row r="186" spans="2:13" x14ac:dyDescent="0.25">
      <c r="B186" s="4">
        <v>185</v>
      </c>
      <c r="C186" s="4" t="str">
        <f>IF(ISBLANK(A186)," ",VLOOKUP((A186),SONUC!$A$2:$L$10000,2,FALSE))</f>
        <v xml:space="preserve"> </v>
      </c>
      <c r="D186" s="4" t="str">
        <f>IF(ISBLANK(A186)," ",VLOOKUP((A186),SONUC!$A$2:$L$10000,3,FALSE))</f>
        <v xml:space="preserve"> </v>
      </c>
      <c r="E186" s="4" t="str">
        <f>IF(ISBLANK(A186)," ",VLOOKUP((A186),SONUC!$A$2:$L$10000,4,FALSE))</f>
        <v xml:space="preserve"> </v>
      </c>
      <c r="F186" s="4" t="str">
        <f>IF(ISBLANK(A186)," ",VLOOKUP((A186),SONUC!$A$2:$L$10000,5,FALSE))</f>
        <v xml:space="preserve"> </v>
      </c>
      <c r="G186" s="4" t="str">
        <f>IF(ISBLANK(A186)," ",VLOOKUP((A186),SONUC!$A$2:$L$10000,6,FALSE))</f>
        <v xml:space="preserve"> </v>
      </c>
      <c r="H186" s="4" t="str">
        <f>IF(ISBLANK(A186)," ",VLOOKUP((A186),SONUC!$A$2:$L$10000,7,FALSE))</f>
        <v xml:space="preserve"> </v>
      </c>
      <c r="I186" s="4" t="str">
        <f>IF(ISBLANK(A186)," ",VLOOKUP((A186),SONUC!$A$2:$L$10000,8,FALSE))</f>
        <v xml:space="preserve"> </v>
      </c>
      <c r="J186" s="4" t="str">
        <f>IF(ISBLANK(A186)," ",VLOOKUP((A186),SONUC!$A$2:$L$10000,9,FALSE))</f>
        <v xml:space="preserve"> </v>
      </c>
      <c r="K186" s="4" t="str">
        <f>IF(ISBLANK(A186)," ",VLOOKUP((A186),SONUC!$A$2:$L$10000,10,FALSE))</f>
        <v xml:space="preserve"> </v>
      </c>
      <c r="L186" s="4" t="str">
        <f>IF(ISBLANK(A186)," ",VLOOKUP((A186),SONUC!$A$2:$L$10000,11,FALSE))</f>
        <v xml:space="preserve"> </v>
      </c>
      <c r="M186" s="4" t="str">
        <f>IF(ISBLANK(A186)," ",VLOOKUP((A186),SONUC!$A$2:$L$10000,12,FALSE))</f>
        <v xml:space="preserve"> </v>
      </c>
    </row>
    <row r="187" spans="2:13" x14ac:dyDescent="0.25">
      <c r="B187" s="4">
        <v>186</v>
      </c>
      <c r="C187" s="4" t="str">
        <f>IF(ISBLANK(A187)," ",VLOOKUP((A187),SONUC!$A$2:$L$10000,2,FALSE))</f>
        <v xml:space="preserve"> </v>
      </c>
      <c r="D187" s="4" t="str">
        <f>IF(ISBLANK(A187)," ",VLOOKUP((A187),SONUC!$A$2:$L$10000,3,FALSE))</f>
        <v xml:space="preserve"> </v>
      </c>
      <c r="E187" s="4" t="str">
        <f>IF(ISBLANK(A187)," ",VLOOKUP((A187),SONUC!$A$2:$L$10000,4,FALSE))</f>
        <v xml:space="preserve"> </v>
      </c>
      <c r="F187" s="4" t="str">
        <f>IF(ISBLANK(A187)," ",VLOOKUP((A187),SONUC!$A$2:$L$10000,5,FALSE))</f>
        <v xml:space="preserve"> </v>
      </c>
      <c r="G187" s="4" t="str">
        <f>IF(ISBLANK(A187)," ",VLOOKUP((A187),SONUC!$A$2:$L$10000,6,FALSE))</f>
        <v xml:space="preserve"> </v>
      </c>
      <c r="H187" s="4" t="str">
        <f>IF(ISBLANK(A187)," ",VLOOKUP((A187),SONUC!$A$2:$L$10000,7,FALSE))</f>
        <v xml:space="preserve"> </v>
      </c>
      <c r="I187" s="4" t="str">
        <f>IF(ISBLANK(A187)," ",VLOOKUP((A187),SONUC!$A$2:$L$10000,8,FALSE))</f>
        <v xml:space="preserve"> </v>
      </c>
      <c r="J187" s="4" t="str">
        <f>IF(ISBLANK(A187)," ",VLOOKUP((A187),SONUC!$A$2:$L$10000,9,FALSE))</f>
        <v xml:space="preserve"> </v>
      </c>
      <c r="K187" s="4" t="str">
        <f>IF(ISBLANK(A187)," ",VLOOKUP((A187),SONUC!$A$2:$L$10000,10,FALSE))</f>
        <v xml:space="preserve"> </v>
      </c>
      <c r="L187" s="4" t="str">
        <f>IF(ISBLANK(A187)," ",VLOOKUP((A187),SONUC!$A$2:$L$10000,11,FALSE))</f>
        <v xml:space="preserve"> </v>
      </c>
      <c r="M187" s="4" t="str">
        <f>IF(ISBLANK(A187)," ",VLOOKUP((A187),SONUC!$A$2:$L$10000,12,FALSE))</f>
        <v xml:space="preserve"> </v>
      </c>
    </row>
    <row r="188" spans="2:13" x14ac:dyDescent="0.25">
      <c r="B188" s="4">
        <v>187</v>
      </c>
      <c r="C188" s="4" t="str">
        <f>IF(ISBLANK(A188)," ",VLOOKUP((A188),SONUC!$A$2:$L$10000,2,FALSE))</f>
        <v xml:space="preserve"> </v>
      </c>
      <c r="D188" s="4" t="str">
        <f>IF(ISBLANK(A188)," ",VLOOKUP((A188),SONUC!$A$2:$L$10000,3,FALSE))</f>
        <v xml:space="preserve"> </v>
      </c>
      <c r="E188" s="4" t="str">
        <f>IF(ISBLANK(A188)," ",VLOOKUP((A188),SONUC!$A$2:$L$10000,4,FALSE))</f>
        <v xml:space="preserve"> </v>
      </c>
      <c r="F188" s="4" t="str">
        <f>IF(ISBLANK(A188)," ",VLOOKUP((A188),SONUC!$A$2:$L$10000,5,FALSE))</f>
        <v xml:space="preserve"> </v>
      </c>
      <c r="G188" s="4" t="str">
        <f>IF(ISBLANK(A188)," ",VLOOKUP((A188),SONUC!$A$2:$L$10000,6,FALSE))</f>
        <v xml:space="preserve"> </v>
      </c>
      <c r="H188" s="4" t="str">
        <f>IF(ISBLANK(A188)," ",VLOOKUP((A188),SONUC!$A$2:$L$10000,7,FALSE))</f>
        <v xml:space="preserve"> </v>
      </c>
      <c r="I188" s="4" t="str">
        <f>IF(ISBLANK(A188)," ",VLOOKUP((A188),SONUC!$A$2:$L$10000,8,FALSE))</f>
        <v xml:space="preserve"> </v>
      </c>
      <c r="J188" s="4" t="str">
        <f>IF(ISBLANK(A188)," ",VLOOKUP((A188),SONUC!$A$2:$L$10000,9,FALSE))</f>
        <v xml:space="preserve"> </v>
      </c>
      <c r="K188" s="4" t="str">
        <f>IF(ISBLANK(A188)," ",VLOOKUP((A188),SONUC!$A$2:$L$10000,10,FALSE))</f>
        <v xml:space="preserve"> </v>
      </c>
      <c r="L188" s="4" t="str">
        <f>IF(ISBLANK(A188)," ",VLOOKUP((A188),SONUC!$A$2:$L$10000,11,FALSE))</f>
        <v xml:space="preserve"> </v>
      </c>
      <c r="M188" s="4" t="str">
        <f>IF(ISBLANK(A188)," ",VLOOKUP((A188),SONUC!$A$2:$L$10000,12,FALSE))</f>
        <v xml:space="preserve"> </v>
      </c>
    </row>
    <row r="189" spans="2:13" x14ac:dyDescent="0.25">
      <c r="B189" s="4">
        <v>188</v>
      </c>
      <c r="C189" s="4" t="str">
        <f>IF(ISBLANK(A189)," ",VLOOKUP((A189),SONUC!$A$2:$L$10000,2,FALSE))</f>
        <v xml:space="preserve"> </v>
      </c>
      <c r="D189" s="4" t="str">
        <f>IF(ISBLANK(A189)," ",VLOOKUP((A189),SONUC!$A$2:$L$10000,3,FALSE))</f>
        <v xml:space="preserve"> </v>
      </c>
      <c r="E189" s="4" t="str">
        <f>IF(ISBLANK(A189)," ",VLOOKUP((A189),SONUC!$A$2:$L$10000,4,FALSE))</f>
        <v xml:space="preserve"> </v>
      </c>
      <c r="F189" s="4" t="str">
        <f>IF(ISBLANK(A189)," ",VLOOKUP((A189),SONUC!$A$2:$L$10000,5,FALSE))</f>
        <v xml:space="preserve"> </v>
      </c>
      <c r="G189" s="4" t="str">
        <f>IF(ISBLANK(A189)," ",VLOOKUP((A189),SONUC!$A$2:$L$10000,6,FALSE))</f>
        <v xml:space="preserve"> </v>
      </c>
      <c r="H189" s="4" t="str">
        <f>IF(ISBLANK(A189)," ",VLOOKUP((A189),SONUC!$A$2:$L$10000,7,FALSE))</f>
        <v xml:space="preserve"> </v>
      </c>
      <c r="I189" s="4" t="str">
        <f>IF(ISBLANK(A189)," ",VLOOKUP((A189),SONUC!$A$2:$L$10000,8,FALSE))</f>
        <v xml:space="preserve"> </v>
      </c>
      <c r="J189" s="4" t="str">
        <f>IF(ISBLANK(A189)," ",VLOOKUP((A189),SONUC!$A$2:$L$10000,9,FALSE))</f>
        <v xml:space="preserve"> </v>
      </c>
      <c r="K189" s="4" t="str">
        <f>IF(ISBLANK(A189)," ",VLOOKUP((A189),SONUC!$A$2:$L$10000,10,FALSE))</f>
        <v xml:space="preserve"> </v>
      </c>
      <c r="L189" s="4" t="str">
        <f>IF(ISBLANK(A189)," ",VLOOKUP((A189),SONUC!$A$2:$L$10000,11,FALSE))</f>
        <v xml:space="preserve"> </v>
      </c>
      <c r="M189" s="4" t="str">
        <f>IF(ISBLANK(A189)," ",VLOOKUP((A189),SONUC!$A$2:$L$10000,12,FALSE))</f>
        <v xml:space="preserve"> </v>
      </c>
    </row>
    <row r="190" spans="2:13" x14ac:dyDescent="0.25">
      <c r="B190" s="4">
        <v>189</v>
      </c>
      <c r="C190" s="4" t="str">
        <f>IF(ISBLANK(A190)," ",VLOOKUP((A190),SONUC!$A$2:$L$10000,2,FALSE))</f>
        <v xml:space="preserve"> </v>
      </c>
      <c r="D190" s="4" t="str">
        <f>IF(ISBLANK(A190)," ",VLOOKUP((A190),SONUC!$A$2:$L$10000,3,FALSE))</f>
        <v xml:space="preserve"> </v>
      </c>
      <c r="E190" s="4" t="str">
        <f>IF(ISBLANK(A190)," ",VLOOKUP((A190),SONUC!$A$2:$L$10000,4,FALSE))</f>
        <v xml:space="preserve"> </v>
      </c>
      <c r="F190" s="4" t="str">
        <f>IF(ISBLANK(A190)," ",VLOOKUP((A190),SONUC!$A$2:$L$10000,5,FALSE))</f>
        <v xml:space="preserve"> </v>
      </c>
      <c r="G190" s="4" t="str">
        <f>IF(ISBLANK(A190)," ",VLOOKUP((A190),SONUC!$A$2:$L$10000,6,FALSE))</f>
        <v xml:space="preserve"> </v>
      </c>
      <c r="H190" s="4" t="str">
        <f>IF(ISBLANK(A190)," ",VLOOKUP((A190),SONUC!$A$2:$L$10000,7,FALSE))</f>
        <v xml:space="preserve"> </v>
      </c>
      <c r="I190" s="4" t="str">
        <f>IF(ISBLANK(A190)," ",VLOOKUP((A190),SONUC!$A$2:$L$10000,8,FALSE))</f>
        <v xml:space="preserve"> </v>
      </c>
      <c r="J190" s="4" t="str">
        <f>IF(ISBLANK(A190)," ",VLOOKUP((A190),SONUC!$A$2:$L$10000,9,FALSE))</f>
        <v xml:space="preserve"> </v>
      </c>
      <c r="K190" s="4" t="str">
        <f>IF(ISBLANK(A190)," ",VLOOKUP((A190),SONUC!$A$2:$L$10000,10,FALSE))</f>
        <v xml:space="preserve"> </v>
      </c>
      <c r="L190" s="4" t="str">
        <f>IF(ISBLANK(A190)," ",VLOOKUP((A190),SONUC!$A$2:$L$10000,11,FALSE))</f>
        <v xml:space="preserve"> </v>
      </c>
      <c r="M190" s="4" t="str">
        <f>IF(ISBLANK(A190)," ",VLOOKUP((A190),SONUC!$A$2:$L$10000,12,FALSE))</f>
        <v xml:space="preserve"> </v>
      </c>
    </row>
    <row r="191" spans="2:13" x14ac:dyDescent="0.25">
      <c r="B191" s="4">
        <v>190</v>
      </c>
      <c r="C191" s="4" t="str">
        <f>IF(ISBLANK(A191)," ",VLOOKUP((A191),SONUC!$A$2:$L$10000,2,FALSE))</f>
        <v xml:space="preserve"> </v>
      </c>
      <c r="D191" s="4" t="str">
        <f>IF(ISBLANK(A191)," ",VLOOKUP((A191),SONUC!$A$2:$L$10000,3,FALSE))</f>
        <v xml:space="preserve"> </v>
      </c>
      <c r="E191" s="4" t="str">
        <f>IF(ISBLANK(A191)," ",VLOOKUP((A191),SONUC!$A$2:$L$10000,4,FALSE))</f>
        <v xml:space="preserve"> </v>
      </c>
      <c r="F191" s="4" t="str">
        <f>IF(ISBLANK(A191)," ",VLOOKUP((A191),SONUC!$A$2:$L$10000,5,FALSE))</f>
        <v xml:space="preserve"> </v>
      </c>
      <c r="G191" s="4" t="str">
        <f>IF(ISBLANK(A191)," ",VLOOKUP((A191),SONUC!$A$2:$L$10000,6,FALSE))</f>
        <v xml:space="preserve"> </v>
      </c>
      <c r="H191" s="4" t="str">
        <f>IF(ISBLANK(A191)," ",VLOOKUP((A191),SONUC!$A$2:$L$10000,7,FALSE))</f>
        <v xml:space="preserve"> </v>
      </c>
      <c r="I191" s="4" t="str">
        <f>IF(ISBLANK(A191)," ",VLOOKUP((A191),SONUC!$A$2:$L$10000,8,FALSE))</f>
        <v xml:space="preserve"> </v>
      </c>
      <c r="J191" s="4" t="str">
        <f>IF(ISBLANK(A191)," ",VLOOKUP((A191),SONUC!$A$2:$L$10000,9,FALSE))</f>
        <v xml:space="preserve"> </v>
      </c>
      <c r="K191" s="4" t="str">
        <f>IF(ISBLANK(A191)," ",VLOOKUP((A191),SONUC!$A$2:$L$10000,10,FALSE))</f>
        <v xml:space="preserve"> </v>
      </c>
      <c r="L191" s="4" t="str">
        <f>IF(ISBLANK(A191)," ",VLOOKUP((A191),SONUC!$A$2:$L$10000,11,FALSE))</f>
        <v xml:space="preserve"> </v>
      </c>
      <c r="M191" s="4" t="str">
        <f>IF(ISBLANK(A191)," ",VLOOKUP((A191),SONUC!$A$2:$L$10000,12,FALSE))</f>
        <v xml:space="preserve"> </v>
      </c>
    </row>
    <row r="192" spans="2:13" x14ac:dyDescent="0.25">
      <c r="B192" s="4">
        <v>191</v>
      </c>
      <c r="C192" s="4" t="str">
        <f>IF(ISBLANK(A192)," ",VLOOKUP((A192),SONUC!$A$2:$L$10000,2,FALSE))</f>
        <v xml:space="preserve"> </v>
      </c>
      <c r="D192" s="4" t="str">
        <f>IF(ISBLANK(A192)," ",VLOOKUP((A192),SONUC!$A$2:$L$10000,3,FALSE))</f>
        <v xml:space="preserve"> </v>
      </c>
      <c r="E192" s="4" t="str">
        <f>IF(ISBLANK(A192)," ",VLOOKUP((A192),SONUC!$A$2:$L$10000,4,FALSE))</f>
        <v xml:space="preserve"> </v>
      </c>
      <c r="F192" s="4" t="str">
        <f>IF(ISBLANK(A192)," ",VLOOKUP((A192),SONUC!$A$2:$L$10000,5,FALSE))</f>
        <v xml:space="preserve"> </v>
      </c>
      <c r="G192" s="4" t="str">
        <f>IF(ISBLANK(A192)," ",VLOOKUP((A192),SONUC!$A$2:$L$10000,6,FALSE))</f>
        <v xml:space="preserve"> </v>
      </c>
      <c r="H192" s="4" t="str">
        <f>IF(ISBLANK(A192)," ",VLOOKUP((A192),SONUC!$A$2:$L$10000,7,FALSE))</f>
        <v xml:space="preserve"> </v>
      </c>
      <c r="I192" s="4" t="str">
        <f>IF(ISBLANK(A192)," ",VLOOKUP((A192),SONUC!$A$2:$L$10000,8,FALSE))</f>
        <v xml:space="preserve"> </v>
      </c>
      <c r="J192" s="4" t="str">
        <f>IF(ISBLANK(A192)," ",VLOOKUP((A192),SONUC!$A$2:$L$10000,9,FALSE))</f>
        <v xml:space="preserve"> </v>
      </c>
      <c r="K192" s="4" t="str">
        <f>IF(ISBLANK(A192)," ",VLOOKUP((A192),SONUC!$A$2:$L$10000,10,FALSE))</f>
        <v xml:space="preserve"> </v>
      </c>
      <c r="L192" s="4" t="str">
        <f>IF(ISBLANK(A192)," ",VLOOKUP((A192),SONUC!$A$2:$L$10000,11,FALSE))</f>
        <v xml:space="preserve"> </v>
      </c>
      <c r="M192" s="4" t="str">
        <f>IF(ISBLANK(A192)," ",VLOOKUP((A192),SONUC!$A$2:$L$10000,12,FALSE))</f>
        <v xml:space="preserve"> </v>
      </c>
    </row>
    <row r="193" spans="2:13" x14ac:dyDescent="0.25">
      <c r="B193" s="4">
        <v>192</v>
      </c>
      <c r="C193" s="4" t="str">
        <f>IF(ISBLANK(A193)," ",VLOOKUP((A193),SONUC!$A$2:$L$10000,2,FALSE))</f>
        <v xml:space="preserve"> </v>
      </c>
      <c r="D193" s="4" t="str">
        <f>IF(ISBLANK(A193)," ",VLOOKUP((A193),SONUC!$A$2:$L$10000,3,FALSE))</f>
        <v xml:space="preserve"> </v>
      </c>
      <c r="E193" s="4" t="str">
        <f>IF(ISBLANK(A193)," ",VLOOKUP((A193),SONUC!$A$2:$L$10000,4,FALSE))</f>
        <v xml:space="preserve"> </v>
      </c>
      <c r="F193" s="4" t="str">
        <f>IF(ISBLANK(A193)," ",VLOOKUP((A193),SONUC!$A$2:$L$10000,5,FALSE))</f>
        <v xml:space="preserve"> </v>
      </c>
      <c r="G193" s="4" t="str">
        <f>IF(ISBLANK(A193)," ",VLOOKUP((A193),SONUC!$A$2:$L$10000,6,FALSE))</f>
        <v xml:space="preserve"> </v>
      </c>
      <c r="H193" s="4" t="str">
        <f>IF(ISBLANK(A193)," ",VLOOKUP((A193),SONUC!$A$2:$L$10000,7,FALSE))</f>
        <v xml:space="preserve"> </v>
      </c>
      <c r="I193" s="4" t="str">
        <f>IF(ISBLANK(A193)," ",VLOOKUP((A193),SONUC!$A$2:$L$10000,8,FALSE))</f>
        <v xml:space="preserve"> </v>
      </c>
      <c r="J193" s="4" t="str">
        <f>IF(ISBLANK(A193)," ",VLOOKUP((A193),SONUC!$A$2:$L$10000,9,FALSE))</f>
        <v xml:space="preserve"> </v>
      </c>
      <c r="K193" s="4" t="str">
        <f>IF(ISBLANK(A193)," ",VLOOKUP((A193),SONUC!$A$2:$L$10000,10,FALSE))</f>
        <v xml:space="preserve"> </v>
      </c>
      <c r="L193" s="4" t="str">
        <f>IF(ISBLANK(A193)," ",VLOOKUP((A193),SONUC!$A$2:$L$10000,11,FALSE))</f>
        <v xml:space="preserve"> </v>
      </c>
      <c r="M193" s="4" t="str">
        <f>IF(ISBLANK(A193)," ",VLOOKUP((A193),SONUC!$A$2:$L$10000,12,FALSE))</f>
        <v xml:space="preserve"> </v>
      </c>
    </row>
    <row r="194" spans="2:13" x14ac:dyDescent="0.25">
      <c r="B194" s="4">
        <v>193</v>
      </c>
      <c r="C194" s="4" t="str">
        <f>IF(ISBLANK(A194)," ",VLOOKUP((A194),SONUC!$A$2:$L$10000,2,FALSE))</f>
        <v xml:space="preserve"> </v>
      </c>
      <c r="D194" s="4" t="str">
        <f>IF(ISBLANK(A194)," ",VLOOKUP((A194),SONUC!$A$2:$L$10000,3,FALSE))</f>
        <v xml:space="preserve"> </v>
      </c>
      <c r="E194" s="4" t="str">
        <f>IF(ISBLANK(A194)," ",VLOOKUP((A194),SONUC!$A$2:$L$10000,4,FALSE))</f>
        <v xml:space="preserve"> </v>
      </c>
      <c r="F194" s="4" t="str">
        <f>IF(ISBLANK(A194)," ",VLOOKUP((A194),SONUC!$A$2:$L$10000,5,FALSE))</f>
        <v xml:space="preserve"> </v>
      </c>
      <c r="G194" s="4" t="str">
        <f>IF(ISBLANK(A194)," ",VLOOKUP((A194),SONUC!$A$2:$L$10000,6,FALSE))</f>
        <v xml:space="preserve"> </v>
      </c>
      <c r="H194" s="4" t="str">
        <f>IF(ISBLANK(A194)," ",VLOOKUP((A194),SONUC!$A$2:$L$10000,7,FALSE))</f>
        <v xml:space="preserve"> </v>
      </c>
      <c r="I194" s="4" t="str">
        <f>IF(ISBLANK(A194)," ",VLOOKUP((A194),SONUC!$A$2:$L$10000,8,FALSE))</f>
        <v xml:space="preserve"> </v>
      </c>
      <c r="J194" s="4" t="str">
        <f>IF(ISBLANK(A194)," ",VLOOKUP((A194),SONUC!$A$2:$L$10000,9,FALSE))</f>
        <v xml:space="preserve"> </v>
      </c>
      <c r="K194" s="4" t="str">
        <f>IF(ISBLANK(A194)," ",VLOOKUP((A194),SONUC!$A$2:$L$10000,10,FALSE))</f>
        <v xml:space="preserve"> </v>
      </c>
      <c r="L194" s="4" t="str">
        <f>IF(ISBLANK(A194)," ",VLOOKUP((A194),SONUC!$A$2:$L$10000,11,FALSE))</f>
        <v xml:space="preserve"> </v>
      </c>
      <c r="M194" s="4" t="str">
        <f>IF(ISBLANK(A194)," ",VLOOKUP((A194),SONUC!$A$2:$L$10000,12,FALSE))</f>
        <v xml:space="preserve"> </v>
      </c>
    </row>
    <row r="195" spans="2:13" x14ac:dyDescent="0.25">
      <c r="B195" s="4">
        <v>194</v>
      </c>
      <c r="C195" s="4" t="str">
        <f>IF(ISBLANK(A195)," ",VLOOKUP((A195),SONUC!$A$2:$L$10000,2,FALSE))</f>
        <v xml:space="preserve"> </v>
      </c>
      <c r="D195" s="4" t="str">
        <f>IF(ISBLANK(A195)," ",VLOOKUP((A195),SONUC!$A$2:$L$10000,3,FALSE))</f>
        <v xml:space="preserve"> </v>
      </c>
      <c r="E195" s="4" t="str">
        <f>IF(ISBLANK(A195)," ",VLOOKUP((A195),SONUC!$A$2:$L$10000,4,FALSE))</f>
        <v xml:space="preserve"> </v>
      </c>
      <c r="F195" s="4" t="str">
        <f>IF(ISBLANK(A195)," ",VLOOKUP((A195),SONUC!$A$2:$L$10000,5,FALSE))</f>
        <v xml:space="preserve"> </v>
      </c>
      <c r="G195" s="4" t="str">
        <f>IF(ISBLANK(A195)," ",VLOOKUP((A195),SONUC!$A$2:$L$10000,6,FALSE))</f>
        <v xml:space="preserve"> </v>
      </c>
      <c r="H195" s="4" t="str">
        <f>IF(ISBLANK(A195)," ",VLOOKUP((A195),SONUC!$A$2:$L$10000,7,FALSE))</f>
        <v xml:space="preserve"> </v>
      </c>
      <c r="I195" s="4" t="str">
        <f>IF(ISBLANK(A195)," ",VLOOKUP((A195),SONUC!$A$2:$L$10000,8,FALSE))</f>
        <v xml:space="preserve"> </v>
      </c>
      <c r="J195" s="4" t="str">
        <f>IF(ISBLANK(A195)," ",VLOOKUP((A195),SONUC!$A$2:$L$10000,9,FALSE))</f>
        <v xml:space="preserve"> </v>
      </c>
      <c r="K195" s="4" t="str">
        <f>IF(ISBLANK(A195)," ",VLOOKUP((A195),SONUC!$A$2:$L$10000,10,FALSE))</f>
        <v xml:space="preserve"> </v>
      </c>
      <c r="L195" s="4" t="str">
        <f>IF(ISBLANK(A195)," ",VLOOKUP((A195),SONUC!$A$2:$L$10000,11,FALSE))</f>
        <v xml:space="preserve"> </v>
      </c>
      <c r="M195" s="4" t="str">
        <f>IF(ISBLANK(A195)," ",VLOOKUP((A195),SONUC!$A$2:$L$10000,12,FALSE))</f>
        <v xml:space="preserve"> </v>
      </c>
    </row>
    <row r="196" spans="2:13" x14ac:dyDescent="0.25">
      <c r="B196" s="4">
        <v>195</v>
      </c>
      <c r="C196" s="4" t="str">
        <f>IF(ISBLANK(A196)," ",VLOOKUP((A196),SONUC!$A$2:$L$10000,2,FALSE))</f>
        <v xml:space="preserve"> </v>
      </c>
      <c r="D196" s="4" t="str">
        <f>IF(ISBLANK(A196)," ",VLOOKUP((A196),SONUC!$A$2:$L$10000,3,FALSE))</f>
        <v xml:space="preserve"> </v>
      </c>
      <c r="E196" s="4" t="str">
        <f>IF(ISBLANK(A196)," ",VLOOKUP((A196),SONUC!$A$2:$L$10000,4,FALSE))</f>
        <v xml:space="preserve"> </v>
      </c>
      <c r="F196" s="4" t="str">
        <f>IF(ISBLANK(A196)," ",VLOOKUP((A196),SONUC!$A$2:$L$10000,5,FALSE))</f>
        <v xml:space="preserve"> </v>
      </c>
      <c r="G196" s="4" t="str">
        <f>IF(ISBLANK(A196)," ",VLOOKUP((A196),SONUC!$A$2:$L$10000,6,FALSE))</f>
        <v xml:space="preserve"> </v>
      </c>
      <c r="H196" s="4" t="str">
        <f>IF(ISBLANK(A196)," ",VLOOKUP((A196),SONUC!$A$2:$L$10000,7,FALSE))</f>
        <v xml:space="preserve"> </v>
      </c>
      <c r="I196" s="4" t="str">
        <f>IF(ISBLANK(A196)," ",VLOOKUP((A196),SONUC!$A$2:$L$10000,8,FALSE))</f>
        <v xml:space="preserve"> </v>
      </c>
      <c r="J196" s="4" t="str">
        <f>IF(ISBLANK(A196)," ",VLOOKUP((A196),SONUC!$A$2:$L$10000,9,FALSE))</f>
        <v xml:space="preserve"> </v>
      </c>
      <c r="K196" s="4" t="str">
        <f>IF(ISBLANK(A196)," ",VLOOKUP((A196),SONUC!$A$2:$L$10000,10,FALSE))</f>
        <v xml:space="preserve"> </v>
      </c>
      <c r="L196" s="4" t="str">
        <f>IF(ISBLANK(A196)," ",VLOOKUP((A196),SONUC!$A$2:$L$10000,11,FALSE))</f>
        <v xml:space="preserve"> </v>
      </c>
      <c r="M196" s="4" t="str">
        <f>IF(ISBLANK(A196)," ",VLOOKUP((A196),SONUC!$A$2:$L$10000,12,FALSE))</f>
        <v xml:space="preserve"> </v>
      </c>
    </row>
    <row r="197" spans="2:13" x14ac:dyDescent="0.25">
      <c r="B197" s="4">
        <v>196</v>
      </c>
      <c r="C197" s="4" t="str">
        <f>IF(ISBLANK(A197)," ",VLOOKUP((A197),SONUC!$A$2:$L$10000,2,FALSE))</f>
        <v xml:space="preserve"> </v>
      </c>
      <c r="D197" s="4" t="str">
        <f>IF(ISBLANK(A197)," ",VLOOKUP((A197),SONUC!$A$2:$L$10000,3,FALSE))</f>
        <v xml:space="preserve"> </v>
      </c>
      <c r="E197" s="4" t="str">
        <f>IF(ISBLANK(A197)," ",VLOOKUP((A197),SONUC!$A$2:$L$10000,4,FALSE))</f>
        <v xml:space="preserve"> </v>
      </c>
      <c r="F197" s="4" t="str">
        <f>IF(ISBLANK(A197)," ",VLOOKUP((A197),SONUC!$A$2:$L$10000,5,FALSE))</f>
        <v xml:space="preserve"> </v>
      </c>
      <c r="G197" s="4" t="str">
        <f>IF(ISBLANK(A197)," ",VLOOKUP((A197),SONUC!$A$2:$L$10000,6,FALSE))</f>
        <v xml:space="preserve"> </v>
      </c>
      <c r="H197" s="4" t="str">
        <f>IF(ISBLANK(A197)," ",VLOOKUP((A197),SONUC!$A$2:$L$10000,7,FALSE))</f>
        <v xml:space="preserve"> </v>
      </c>
      <c r="I197" s="4" t="str">
        <f>IF(ISBLANK(A197)," ",VLOOKUP((A197),SONUC!$A$2:$L$10000,8,FALSE))</f>
        <v xml:space="preserve"> </v>
      </c>
      <c r="J197" s="4" t="str">
        <f>IF(ISBLANK(A197)," ",VLOOKUP((A197),SONUC!$A$2:$L$10000,9,FALSE))</f>
        <v xml:space="preserve"> </v>
      </c>
      <c r="K197" s="4" t="str">
        <f>IF(ISBLANK(A197)," ",VLOOKUP((A197),SONUC!$A$2:$L$10000,10,FALSE))</f>
        <v xml:space="preserve"> </v>
      </c>
      <c r="L197" s="4" t="str">
        <f>IF(ISBLANK(A197)," ",VLOOKUP((A197),SONUC!$A$2:$L$10000,11,FALSE))</f>
        <v xml:space="preserve"> </v>
      </c>
      <c r="M197" s="4" t="str">
        <f>IF(ISBLANK(A197)," ",VLOOKUP((A197),SONUC!$A$2:$L$10000,12,FALSE))</f>
        <v xml:space="preserve"> </v>
      </c>
    </row>
    <row r="198" spans="2:13" x14ac:dyDescent="0.25">
      <c r="B198" s="4">
        <v>197</v>
      </c>
      <c r="C198" s="4" t="str">
        <f>IF(ISBLANK(A198)," ",VLOOKUP((A198),SONUC!$A$2:$L$10000,2,FALSE))</f>
        <v xml:space="preserve"> </v>
      </c>
      <c r="D198" s="4" t="str">
        <f>IF(ISBLANK(A198)," ",VLOOKUP((A198),SONUC!$A$2:$L$10000,3,FALSE))</f>
        <v xml:space="preserve"> </v>
      </c>
      <c r="E198" s="4" t="str">
        <f>IF(ISBLANK(A198)," ",VLOOKUP((A198),SONUC!$A$2:$L$10000,4,FALSE))</f>
        <v xml:space="preserve"> </v>
      </c>
      <c r="F198" s="4" t="str">
        <f>IF(ISBLANK(A198)," ",VLOOKUP((A198),SONUC!$A$2:$L$10000,5,FALSE))</f>
        <v xml:space="preserve"> </v>
      </c>
      <c r="G198" s="4" t="str">
        <f>IF(ISBLANK(A198)," ",VLOOKUP((A198),SONUC!$A$2:$L$10000,6,FALSE))</f>
        <v xml:space="preserve"> </v>
      </c>
      <c r="H198" s="4" t="str">
        <f>IF(ISBLANK(A198)," ",VLOOKUP((A198),SONUC!$A$2:$L$10000,7,FALSE))</f>
        <v xml:space="preserve"> </v>
      </c>
      <c r="I198" s="4" t="str">
        <f>IF(ISBLANK(A198)," ",VLOOKUP((A198),SONUC!$A$2:$L$10000,8,FALSE))</f>
        <v xml:space="preserve"> </v>
      </c>
      <c r="J198" s="4" t="str">
        <f>IF(ISBLANK(A198)," ",VLOOKUP((A198),SONUC!$A$2:$L$10000,9,FALSE))</f>
        <v xml:space="preserve"> </v>
      </c>
      <c r="K198" s="4" t="str">
        <f>IF(ISBLANK(A198)," ",VLOOKUP((A198),SONUC!$A$2:$L$10000,10,FALSE))</f>
        <v xml:space="preserve"> </v>
      </c>
      <c r="L198" s="4" t="str">
        <f>IF(ISBLANK(A198)," ",VLOOKUP((A198),SONUC!$A$2:$L$10000,11,FALSE))</f>
        <v xml:space="preserve"> </v>
      </c>
      <c r="M198" s="4" t="str">
        <f>IF(ISBLANK(A198)," ",VLOOKUP((A198),SONUC!$A$2:$L$10000,12,FALSE))</f>
        <v xml:space="preserve"> </v>
      </c>
    </row>
    <row r="199" spans="2:13" x14ac:dyDescent="0.25">
      <c r="B199" s="4">
        <v>198</v>
      </c>
      <c r="C199" s="4" t="str">
        <f>IF(ISBLANK(A199)," ",VLOOKUP((A199),SONUC!$A$2:$L$10000,2,FALSE))</f>
        <v xml:space="preserve"> </v>
      </c>
      <c r="D199" s="4" t="str">
        <f>IF(ISBLANK(A199)," ",VLOOKUP((A199),SONUC!$A$2:$L$10000,3,FALSE))</f>
        <v xml:space="preserve"> </v>
      </c>
      <c r="E199" s="4" t="str">
        <f>IF(ISBLANK(A199)," ",VLOOKUP((A199),SONUC!$A$2:$L$10000,4,FALSE))</f>
        <v xml:space="preserve"> </v>
      </c>
      <c r="F199" s="4" t="str">
        <f>IF(ISBLANK(A199)," ",VLOOKUP((A199),SONUC!$A$2:$L$10000,5,FALSE))</f>
        <v xml:space="preserve"> </v>
      </c>
      <c r="G199" s="4" t="str">
        <f>IF(ISBLANK(A199)," ",VLOOKUP((A199),SONUC!$A$2:$L$10000,6,FALSE))</f>
        <v xml:space="preserve"> </v>
      </c>
      <c r="H199" s="4" t="str">
        <f>IF(ISBLANK(A199)," ",VLOOKUP((A199),SONUC!$A$2:$L$10000,7,FALSE))</f>
        <v xml:space="preserve"> </v>
      </c>
      <c r="I199" s="4" t="str">
        <f>IF(ISBLANK(A199)," ",VLOOKUP((A199),SONUC!$A$2:$L$10000,8,FALSE))</f>
        <v xml:space="preserve"> </v>
      </c>
      <c r="J199" s="4" t="str">
        <f>IF(ISBLANK(A199)," ",VLOOKUP((A199),SONUC!$A$2:$L$10000,9,FALSE))</f>
        <v xml:space="preserve"> </v>
      </c>
      <c r="K199" s="4" t="str">
        <f>IF(ISBLANK(A199)," ",VLOOKUP((A199),SONUC!$A$2:$L$10000,10,FALSE))</f>
        <v xml:space="preserve"> </v>
      </c>
      <c r="L199" s="4" t="str">
        <f>IF(ISBLANK(A199)," ",VLOOKUP((A199),SONUC!$A$2:$L$10000,11,FALSE))</f>
        <v xml:space="preserve"> </v>
      </c>
      <c r="M199" s="4" t="str">
        <f>IF(ISBLANK(A199)," ",VLOOKUP((A199),SONUC!$A$2:$L$10000,12,FALSE))</f>
        <v xml:space="preserve"> </v>
      </c>
    </row>
    <row r="200" spans="2:13" x14ac:dyDescent="0.25">
      <c r="B200" s="4">
        <v>199</v>
      </c>
      <c r="C200" s="4" t="str">
        <f>IF(ISBLANK(A200)," ",VLOOKUP((A200),SONUC!$A$2:$L$10000,2,FALSE))</f>
        <v xml:space="preserve"> </v>
      </c>
      <c r="D200" s="4" t="str">
        <f>IF(ISBLANK(A200)," ",VLOOKUP((A200),SONUC!$A$2:$L$10000,3,FALSE))</f>
        <v xml:space="preserve"> </v>
      </c>
      <c r="E200" s="4" t="str">
        <f>IF(ISBLANK(A200)," ",VLOOKUP((A200),SONUC!$A$2:$L$10000,4,FALSE))</f>
        <v xml:space="preserve"> </v>
      </c>
      <c r="F200" s="4" t="str">
        <f>IF(ISBLANK(A200)," ",VLOOKUP((A200),SONUC!$A$2:$L$10000,5,FALSE))</f>
        <v xml:space="preserve"> </v>
      </c>
      <c r="G200" s="4" t="str">
        <f>IF(ISBLANK(A200)," ",VLOOKUP((A200),SONUC!$A$2:$L$10000,6,FALSE))</f>
        <v xml:space="preserve"> </v>
      </c>
      <c r="H200" s="4" t="str">
        <f>IF(ISBLANK(A200)," ",VLOOKUP((A200),SONUC!$A$2:$L$10000,7,FALSE))</f>
        <v xml:space="preserve"> </v>
      </c>
      <c r="I200" s="4" t="str">
        <f>IF(ISBLANK(A200)," ",VLOOKUP((A200),SONUC!$A$2:$L$10000,8,FALSE))</f>
        <v xml:space="preserve"> </v>
      </c>
      <c r="J200" s="4" t="str">
        <f>IF(ISBLANK(A200)," ",VLOOKUP((A200),SONUC!$A$2:$L$10000,9,FALSE))</f>
        <v xml:space="preserve"> </v>
      </c>
      <c r="K200" s="4" t="str">
        <f>IF(ISBLANK(A200)," ",VLOOKUP((A200),SONUC!$A$2:$L$10000,10,FALSE))</f>
        <v xml:space="preserve"> </v>
      </c>
      <c r="L200" s="4" t="str">
        <f>IF(ISBLANK(A200)," ",VLOOKUP((A200),SONUC!$A$2:$L$10000,11,FALSE))</f>
        <v xml:space="preserve"> </v>
      </c>
      <c r="M200" s="4" t="str">
        <f>IF(ISBLANK(A200)," ",VLOOKUP((A200),SONUC!$A$2:$L$10000,12,FALSE))</f>
        <v xml:space="preserve"> </v>
      </c>
    </row>
    <row r="201" spans="2:13" x14ac:dyDescent="0.25">
      <c r="B201" s="4">
        <v>200</v>
      </c>
      <c r="C201" s="4" t="str">
        <f>IF(ISBLANK(A201)," ",VLOOKUP((A201),SONUC!$A$2:$L$10000,2,FALSE))</f>
        <v xml:space="preserve"> </v>
      </c>
      <c r="D201" s="4" t="str">
        <f>IF(ISBLANK(A201)," ",VLOOKUP((A201),SONUC!$A$2:$L$10000,3,FALSE))</f>
        <v xml:space="preserve"> </v>
      </c>
      <c r="E201" s="4" t="str">
        <f>IF(ISBLANK(A201)," ",VLOOKUP((A201),SONUC!$A$2:$L$10000,4,FALSE))</f>
        <v xml:space="preserve"> </v>
      </c>
      <c r="F201" s="4" t="str">
        <f>IF(ISBLANK(A201)," ",VLOOKUP((A201),SONUC!$A$2:$L$10000,5,FALSE))</f>
        <v xml:space="preserve"> </v>
      </c>
      <c r="G201" s="4" t="str">
        <f>IF(ISBLANK(A201)," ",VLOOKUP((A201),SONUC!$A$2:$L$10000,6,FALSE))</f>
        <v xml:space="preserve"> </v>
      </c>
      <c r="H201" s="4" t="str">
        <f>IF(ISBLANK(A201)," ",VLOOKUP((A201),SONUC!$A$2:$L$10000,7,FALSE))</f>
        <v xml:space="preserve"> </v>
      </c>
      <c r="I201" s="4" t="str">
        <f>IF(ISBLANK(A201)," ",VLOOKUP((A201),SONUC!$A$2:$L$10000,8,FALSE))</f>
        <v xml:space="preserve"> </v>
      </c>
      <c r="J201" s="4" t="str">
        <f>IF(ISBLANK(A201)," ",VLOOKUP((A201),SONUC!$A$2:$L$10000,9,FALSE))</f>
        <v xml:space="preserve"> </v>
      </c>
      <c r="K201" s="4" t="str">
        <f>IF(ISBLANK(A201)," ",VLOOKUP((A201),SONUC!$A$2:$L$10000,10,FALSE))</f>
        <v xml:space="preserve"> </v>
      </c>
      <c r="L201" s="4" t="str">
        <f>IF(ISBLANK(A201)," ",VLOOKUP((A201),SONUC!$A$2:$L$10000,11,FALSE))</f>
        <v xml:space="preserve"> </v>
      </c>
      <c r="M201" s="4" t="str">
        <f>IF(ISBLANK(A201)," ",VLOOKUP((A201),SONUC!$A$2:$L$10000,12,FALSE))</f>
        <v xml:space="preserve"> 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4"/>
  <sheetViews>
    <sheetView workbookViewId="0">
      <selection activeCell="E12" sqref="E12:F12"/>
    </sheetView>
  </sheetViews>
  <sheetFormatPr defaultColWidth="0" defaultRowHeight="15" zeroHeight="1" x14ac:dyDescent="0.25"/>
  <cols>
    <col min="1" max="1" width="7.42578125" customWidth="1"/>
    <col min="2" max="11" width="9.140625" customWidth="1"/>
    <col min="12" max="12" width="0" hidden="1" customWidth="1"/>
    <col min="13" max="16384" width="9.140625" hidden="1"/>
  </cols>
  <sheetData>
    <row r="1" spans="3:9" s="5" customFormat="1" x14ac:dyDescent="0.25"/>
    <row r="2" spans="3:9" s="5" customFormat="1" x14ac:dyDescent="0.25"/>
    <row r="3" spans="3:9" s="5" customFormat="1" x14ac:dyDescent="0.25">
      <c r="C3" s="14"/>
      <c r="D3" s="14"/>
      <c r="H3" s="14"/>
      <c r="I3" s="14"/>
    </row>
    <row r="4" spans="3:9" s="5" customFormat="1" x14ac:dyDescent="0.25"/>
    <row r="5" spans="3:9" s="5" customFormat="1" x14ac:dyDescent="0.25"/>
    <row r="6" spans="3:9" s="5" customFormat="1" x14ac:dyDescent="0.25"/>
    <row r="7" spans="3:9" s="5" customFormat="1" x14ac:dyDescent="0.25"/>
    <row r="8" spans="3:9" s="5" customFormat="1" x14ac:dyDescent="0.25"/>
    <row r="9" spans="3:9" s="5" customFormat="1" x14ac:dyDescent="0.25"/>
    <row r="10" spans="3:9" s="5" customFormat="1" x14ac:dyDescent="0.25"/>
    <row r="11" spans="3:9" s="5" customFormat="1" x14ac:dyDescent="0.25"/>
    <row r="12" spans="3:9" s="5" customFormat="1" x14ac:dyDescent="0.25"/>
    <row r="13" spans="3:9" s="5" customFormat="1" x14ac:dyDescent="0.25"/>
    <row r="14" spans="3:9" s="5" customFormat="1" x14ac:dyDescent="0.25"/>
  </sheetData>
  <mergeCells count="2">
    <mergeCell ref="C3:D3"/>
    <mergeCell ref="H3:I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SONUC</vt:lpstr>
      <vt:lpstr>Uniformita Bulucu</vt:lpstr>
      <vt:lpstr>Kontrol Paneli</vt:lpstr>
    </vt:vector>
  </TitlesOfParts>
  <Company>Pirelli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Cavus Kerem Ahmet (CONS), TR</dc:creator>
  <cp:lastModifiedBy>Cavus Kerem Ahmet (CONS), TR</cp:lastModifiedBy>
  <dcterms:created xsi:type="dcterms:W3CDTF">2017-03-07T05:00:54Z</dcterms:created>
  <dcterms:modified xsi:type="dcterms:W3CDTF">2018-01-16T12:29:53Z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oken_Wrapper">
    <vt:lpwstr>19f69d2e-bc40-4b70-881e-d5c805b28398</vt:lpwstr>
  </property>
  <property fmtid="{D5CDD505-2E9C-101B-9397-08002B2CF9AE}" pid="3" name="Classification">
    <vt:lpwstr>Internal Use Only - Pirelli Data Classification</vt:lpwstr>
  </property>
</Properties>
</file>